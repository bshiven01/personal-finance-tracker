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nsactions" sheetId="2" state="visible" r:id="rId4"/>
    <sheet name="Categories" sheetId="3" state="visible" r:id="rId5"/>
    <sheet name="Accounts" sheetId="4" state="visible" r:id="rId6"/>
    <sheet name="Net Worth Histo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<sst xmlns="http://schemas.openxmlformats.org/spreadsheetml/2006/main" count="190" uniqueCount="112">
  <si>
    <t xml:space="preserve">Dashboard</t>
  </si>
  <si>
    <t xml:space="preserve">Everything below recalculates automatically from Transactions, Accounts, and Categories.</t>
  </si>
  <si>
    <t xml:space="preserve">Month to analyze (YYYY-MM):</t>
  </si>
  <si>
    <t xml:space="preserve">Net Worth</t>
  </si>
  <si>
    <t xml:space="preserve">Income This Month</t>
  </si>
  <si>
    <t xml:space="preserve">Spending This Month</t>
  </si>
  <si>
    <t xml:space="preserve">Owed to Me (net, all-time)</t>
  </si>
  <si>
    <t xml:space="preserve">Category</t>
  </si>
  <si>
    <t xml:space="preserve">Group</t>
  </si>
  <si>
    <t xml:space="preserve">Monthly Budget</t>
  </si>
  <si>
    <t xml:space="preserve">Actual Spent</t>
  </si>
  <si>
    <t xml:space="preserve">Remaining</t>
  </si>
  <si>
    <t xml:space="preserve">Needs</t>
  </si>
  <si>
    <t xml:space="preserve">Wants</t>
  </si>
  <si>
    <t xml:space="preserve">Needs / Wants / Savings Split</t>
  </si>
  <si>
    <t xml:space="preserve">Planned Monthly Income (take-home; mostly salary)</t>
  </si>
  <si>
    <t xml:space="preserve">Edit this -&gt;</t>
  </si>
  <si>
    <t xml:space="preserve">Planned %</t>
  </si>
  <si>
    <t xml:space="preserve">Planned $</t>
  </si>
  <si>
    <t xml:space="preserve">Actual $</t>
  </si>
  <si>
    <t xml:space="preserve">Actual %</t>
  </si>
  <si>
    <t xml:space="preserve">Savings</t>
  </si>
  <si>
    <t xml:space="preserve">Total</t>
  </si>
  <si>
    <t xml:space="preserve">Transactions</t>
  </si>
  <si>
    <t xml:space="preserve">Log every transaction here (manually, pasted from a bank CSV, or via the optional Plaid sync). See README for the reimbursement / internal transfer / savings workflow.</t>
  </si>
  <si>
    <t xml:space="preserve">Txn ID</t>
  </si>
  <si>
    <t xml:space="preserve">Date</t>
  </si>
  <si>
    <t xml:space="preserve">Account</t>
  </si>
  <si>
    <t xml:space="preserve">Merchant / Description</t>
  </si>
  <si>
    <t xml:space="preserve">Amount</t>
  </si>
  <si>
    <t xml:space="preserve">Status</t>
  </si>
  <si>
    <t xml:space="preserve">Reimbursable Amount</t>
  </si>
  <si>
    <t xml:space="preserve">Net Amount</t>
  </si>
  <si>
    <t xml:space="preserve">Linked Txn ID (optional)</t>
  </si>
  <si>
    <t xml:space="preserve">Notes</t>
  </si>
  <si>
    <t xml:space="preserve">Month</t>
  </si>
  <si>
    <t xml:space="preserve">2026-01-01</t>
  </si>
  <si>
    <t xml:space="preserve">Checking - Bank A</t>
  </si>
  <si>
    <t xml:space="preserve">Paycheck</t>
  </si>
  <si>
    <t xml:space="preserve">Salary</t>
  </si>
  <si>
    <t xml:space="preserve">Normal</t>
  </si>
  <si>
    <t xml:space="preserve">Monthly salary</t>
  </si>
  <si>
    <t xml:space="preserve">2026-01-02</t>
  </si>
  <si>
    <t xml:space="preserve">Whole Foods</t>
  </si>
  <si>
    <t xml:space="preserve">Groceries</t>
  </si>
  <si>
    <t xml:space="preserve">2026-01-03</t>
  </si>
  <si>
    <t xml:space="preserve">Credit Card - Bank B</t>
  </si>
  <si>
    <t xml:space="preserve">Group Dinner - Tony's</t>
  </si>
  <si>
    <t xml:space="preserve">Dining Out</t>
  </si>
  <si>
    <t xml:space="preserve">Pending Reimbursement</t>
  </si>
  <si>
    <t xml:space="preserve">Paid for 4; 3 friends owe $40 each. No linking needed - see Owed to Me on Dashboard.</t>
  </si>
  <si>
    <t xml:space="preserve">2026-01-05</t>
  </si>
  <si>
    <t xml:space="preserve">Cash / Venmo (unlinked)</t>
  </si>
  <si>
    <t xml:space="preserve">Venmo from Sam &amp; Alex</t>
  </si>
  <si>
    <t xml:space="preserve">Reimbursement</t>
  </si>
  <si>
    <t xml:space="preserve">Repayment for Tony's dinner, landed in an unlinked account - still counts, no linking required</t>
  </si>
  <si>
    <t xml:space="preserve">Transfer to Savings</t>
  </si>
  <si>
    <t xml:space="preserve">Internal Transfer</t>
  </si>
  <si>
    <t xml:space="preserve">Outgoing leg of a plain account-to-account transfer - fully disregarded</t>
  </si>
  <si>
    <t xml:space="preserve">Savings - Bank A</t>
  </si>
  <si>
    <t xml:space="preserve">Transfer from Checking</t>
  </si>
  <si>
    <t xml:space="preserve">Incoming leg - also disregarded, net effect on spending is zero</t>
  </si>
  <si>
    <t xml:space="preserve">2026-01-06</t>
  </si>
  <si>
    <t xml:space="preserve">Auto-transfer to Brokerage</t>
  </si>
  <si>
    <t xml:space="preserve">Investing</t>
  </si>
  <si>
    <t xml:space="preserve">This leg IS kept - it counts toward the Savings group</t>
  </si>
  <si>
    <t xml:space="preserve">2026-01-07</t>
  </si>
  <si>
    <t xml:space="preserve">Interest Paid</t>
  </si>
  <si>
    <t xml:space="preserve">Other Income</t>
  </si>
  <si>
    <t xml:space="preserve">2026-01-08</t>
  </si>
  <si>
    <t xml:space="preserve">Random one-off purchase</t>
  </si>
  <si>
    <t xml:space="preserve">Miscellaneous Expenses</t>
  </si>
  <si>
    <t xml:space="preserve">Categories &amp; Budgets</t>
  </si>
  <si>
    <t xml:space="preserve">Needs/Wants categories (rows 5-15) feed the budget table &amp; Needs/Wants/Savings split. 'Reimbursement' and 'Internal Transfer' are always excluded from spending/income totals.</t>
  </si>
  <si>
    <t xml:space="preserve">Transport</t>
  </si>
  <si>
    <t xml:space="preserve">Rent/Mortgage</t>
  </si>
  <si>
    <t xml:space="preserve">Utilities</t>
  </si>
  <si>
    <t xml:space="preserve">Entertainment</t>
  </si>
  <si>
    <t xml:space="preserve">Shopping</t>
  </si>
  <si>
    <t xml:space="preserve">Health</t>
  </si>
  <si>
    <t xml:space="preserve">Travel</t>
  </si>
  <si>
    <t xml:space="preserve">Subscriptions</t>
  </si>
  <si>
    <t xml:space="preserve">Income</t>
  </si>
  <si>
    <t xml:space="preserve">Savings Contribution</t>
  </si>
  <si>
    <t xml:space="preserve">Transfer</t>
  </si>
  <si>
    <t xml:space="preserve">Accounts</t>
  </si>
  <si>
    <t xml:space="preserve">Add every account you want tracked. Edit yellow cells only.</t>
  </si>
  <si>
    <t xml:space="preserve">Account Name</t>
  </si>
  <si>
    <t xml:space="preserve">Type</t>
  </si>
  <si>
    <t xml:space="preserve">Institution</t>
  </si>
  <si>
    <t xml:space="preserve">Asset or Liability</t>
  </si>
  <si>
    <t xml:space="preserve">Current Balance</t>
  </si>
  <si>
    <t xml:space="preserve">Include in Net Worth</t>
  </si>
  <si>
    <t xml:space="preserve">Last Updated</t>
  </si>
  <si>
    <t xml:space="preserve">Checking</t>
  </si>
  <si>
    <t xml:space="preserve">Bank A</t>
  </si>
  <si>
    <t xml:space="preserve">Asset</t>
  </si>
  <si>
    <t xml:space="preserve">Y</t>
  </si>
  <si>
    <t xml:space="preserve">Credit Card</t>
  </si>
  <si>
    <t xml:space="preserve">Bank B</t>
  </si>
  <si>
    <t xml:space="preserve">Liability</t>
  </si>
  <si>
    <t xml:space="preserve">Brokerage - Broker C</t>
  </si>
  <si>
    <t xml:space="preserve">Investment</t>
  </si>
  <si>
    <t xml:space="preserve">Broker C</t>
  </si>
  <si>
    <t xml:space="preserve">Cash</t>
  </si>
  <si>
    <t xml:space="preserve">N/A</t>
  </si>
  <si>
    <t xml:space="preserve">Net Worth Summary</t>
  </si>
  <si>
    <t xml:space="preserve">Total Assets</t>
  </si>
  <si>
    <t xml:space="preserve">Total Liabilities</t>
  </si>
  <si>
    <t xml:space="preserve">Net Worth History</t>
  </si>
  <si>
    <t xml:space="preserve">Row 5 always reflects today's Accounts balances. Copy Row 5's values (paste as values) into a new row below whenever you want to snapshot a point in time.</t>
  </si>
  <si>
    <t xml:space="preserve">2025-12-01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</si>
</sst>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\$#,##0"/>
    <numFmt numFmtId="167" formatCode="0%"/>
    <numFmt numFmtId="168" formatCode="0.0%"/>
    <numFmt numFmtId="169" formatCode="yyyy\-mm\-dd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b val="true"/>
      <sz val="16"/>
      <color rgb="FFC62828"/>
      <name val="Arial"/>
      <family val="0"/>
      <charset val="1"/>
    </font>
    <font>
      <b val="true"/>
      <sz val="14"/>
      <color rgb="FFB8860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B8860B"/>
      <rgbColor rgb="FF800080"/>
      <rgbColor rgb="FF4F81BD"/>
      <rgbColor rgb="FFB8CD97"/>
      <rgbColor rgb="FF878787"/>
      <rgbColor rgb="FF93A9CE"/>
      <rgbColor rgb="FFAB4744"/>
      <rgbColor rgb="FFFFF2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2C3D5"/>
      <rgbColor rgb="FFD09493"/>
      <rgbColor rgb="FFCC99FF"/>
      <rgbColor rgb="FFF8CBAD"/>
      <rgbColor rgb="FF4A7EBB"/>
      <rgbColor rgb="FF33CCCC"/>
      <rgbColor rgb="FF8AA64F"/>
      <rgbColor rgb="FFFFCC00"/>
      <rgbColor rgb="FFFF9900"/>
      <rgbColor rgb="FFFF6600"/>
      <rgbColor rgb="FF725990"/>
      <rgbColor rgb="FFA99BBD"/>
      <rgbColor rgb="FF003366"/>
      <rgbColor rgb="FF4299B0"/>
      <rgbColor rgb="FF003300"/>
      <rgbColor rgb="FF333300"/>
      <rgbColor rgb="FFC62828"/>
      <rgbColor rgb="FFC0504D"/>
      <rgbColor rgb="FF1F4E78"/>
      <rgbColor rgb="FF66666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Spending Distribution This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Dashboard!D13</c:f>
              <c:strCache>
                <c:ptCount val="1"/>
                <c:pt idx="0">
                  <c:v>Actual Spent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Dashboard!$A$14:$A$24</c:f>
              <c:strCache>
                <c:ptCount val="11"/>
                <c:pt idx="0">
                  <c:v>Groceries</c:v>
                </c:pt>
                <c:pt idx="1">
                  <c:v>Dining Out</c:v>
                </c:pt>
                <c:pt idx="2">
                  <c:v>Transport</c:v>
                </c:pt>
                <c:pt idx="3">
                  <c:v>Rent/Mortgage</c:v>
                </c:pt>
                <c:pt idx="4">
                  <c:v>Utilities</c:v>
                </c:pt>
                <c:pt idx="5">
                  <c:v>Entertainment</c:v>
                </c:pt>
                <c:pt idx="6">
                  <c:v>Shopping</c:v>
                </c:pt>
                <c:pt idx="7">
                  <c:v>Health</c:v>
                </c:pt>
                <c:pt idx="8">
                  <c:v>Travel</c:v>
                </c:pt>
                <c:pt idx="9">
                  <c:v>Subscriptions</c:v>
                </c:pt>
                <c:pt idx="10">
                  <c:v>Miscellaneous Expenses</c:v>
                </c:pt>
              </c:strCache>
            </c:strRef>
          </c:cat>
          <c:val>
            <c:numRef>
              <c:f>Dashboard!$D$14:$D$24</c:f>
              <c:numCache>
                <c:formatCode>\$#,##0.00</c:formatCode>
                <c:ptCount val="11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Actual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Dashboard!C13</c:f>
              <c:strCache>
                <c:ptCount val="1"/>
                <c:pt idx="0">
                  <c:v>Monthly 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Dashboard!$A$14:$A$24</c:f>
              <c:strCache>
                <c:ptCount val="11"/>
                <c:pt idx="0">
                  <c:v>Groceries</c:v>
                </c:pt>
                <c:pt idx="1">
                  <c:v>Dining Out</c:v>
                </c:pt>
                <c:pt idx="2">
                  <c:v>Transport</c:v>
                </c:pt>
                <c:pt idx="3">
                  <c:v>Rent/Mortgage</c:v>
                </c:pt>
                <c:pt idx="4">
                  <c:v>Utilities</c:v>
                </c:pt>
                <c:pt idx="5">
                  <c:v>Entertainment</c:v>
                </c:pt>
                <c:pt idx="6">
                  <c:v>Shopping</c:v>
                </c:pt>
                <c:pt idx="7">
                  <c:v>Health</c:v>
                </c:pt>
                <c:pt idx="8">
                  <c:v>Travel</c:v>
                </c:pt>
                <c:pt idx="9">
                  <c:v>Subscriptions</c:v>
                </c:pt>
                <c:pt idx="10">
                  <c:v>Miscellaneous Expenses</c:v>
                </c:pt>
              </c:strCache>
            </c:strRef>
          </c:cat>
          <c:val>
            <c:numRef>
              <c:f>Dashboard!$C$14:$C$24</c:f>
              <c:numCache>
                <c:formatCode>\$#,##0</c:formatCode>
                <c:ptCount val="11"/>
                <c:pt idx="0">
                  <c:v>500</c:v>
                </c:pt>
                <c:pt idx="1">
                  <c:v>200</c:v>
                </c:pt>
                <c:pt idx="2">
                  <c:v>150</c:v>
                </c:pt>
                <c:pt idx="3">
                  <c:v>1800</c:v>
                </c:pt>
                <c:pt idx="4">
                  <c:v>200</c:v>
                </c:pt>
                <c:pt idx="5">
                  <c:v>100</c:v>
                </c:pt>
                <c:pt idx="6">
                  <c:v>150</c:v>
                </c:pt>
                <c:pt idx="7">
                  <c:v>100</c:v>
                </c:pt>
                <c:pt idx="8">
                  <c:v>100</c:v>
                </c:pt>
                <c:pt idx="9">
                  <c:v>50</c:v>
                </c:pt>
                <c:pt idx="10">
                  <c:v>100</c:v>
                </c:pt>
              </c:numCache>
            </c:numRef>
          </c:val>
        </c:ser>
        <c:ser>
          <c:idx val="1"/>
          <c:order val="1"/>
          <c:tx>
            <c:strRef>
              <c:f>Dashboard!D13</c:f>
              <c:strCache>
                <c:ptCount val="1"/>
                <c:pt idx="0">
                  <c:v>Actual Spent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Dashboard!$A$14:$A$24</c:f>
              <c:strCache>
                <c:ptCount val="11"/>
                <c:pt idx="0">
                  <c:v>Groceries</c:v>
                </c:pt>
                <c:pt idx="1">
                  <c:v>Dining Out</c:v>
                </c:pt>
                <c:pt idx="2">
                  <c:v>Transport</c:v>
                </c:pt>
                <c:pt idx="3">
                  <c:v>Rent/Mortgage</c:v>
                </c:pt>
                <c:pt idx="4">
                  <c:v>Utilities</c:v>
                </c:pt>
                <c:pt idx="5">
                  <c:v>Entertainment</c:v>
                </c:pt>
                <c:pt idx="6">
                  <c:v>Shopping</c:v>
                </c:pt>
                <c:pt idx="7">
                  <c:v>Health</c:v>
                </c:pt>
                <c:pt idx="8">
                  <c:v>Travel</c:v>
                </c:pt>
                <c:pt idx="9">
                  <c:v>Subscriptions</c:v>
                </c:pt>
                <c:pt idx="10">
                  <c:v>Miscellaneous Expenses</c:v>
                </c:pt>
              </c:strCache>
            </c:strRef>
          </c:cat>
          <c:val>
            <c:numRef>
              <c:f>Dashboard!$D$14:$D$24</c:f>
              <c:numCache>
                <c:formatCode>\$#,##0.00</c:formatCode>
                <c:ptCount val="11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</c:numCache>
            </c:numRef>
          </c:val>
        </c:ser>
        <c:gapWidth val="150"/>
        <c:overlap val="0"/>
        <c:axId val="1256538"/>
        <c:axId val="67457452"/>
      </c:barChart>
      <c:catAx>
        <c:axId val="12565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57452"/>
        <c:crosses val="autoZero"/>
        <c:auto val="1"/>
        <c:lblAlgn val="ctr"/>
        <c:lblOffset val="100"/>
        <c:noMultiLvlLbl val="0"/>
      </c:catAx>
      <c:valAx>
        <c:axId val="674574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65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Needs / Wants / Savings — Planned vs Actual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Dashboard!C30</c:f>
              <c:strCache>
                <c:ptCount val="1"/>
                <c:pt idx="0">
                  <c:v>Planned $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Dashboard!$A$31:$A$33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Dashboard!$C$31:$C$33</c:f>
              <c:numCache>
                <c:formatCode>\$#,##0.00</c:formatCode>
                <c:ptCount val="3"/>
                <c:pt idx="0">
                  <c:v>3000</c:v>
                </c:pt>
                <c:pt idx="1">
                  <c:v>1800</c:v>
                </c:pt>
                <c:pt idx="2">
                  <c:v>1200</c:v>
                </c:pt>
              </c:numCache>
            </c:numRef>
          </c:val>
        </c:ser>
        <c:ser>
          <c:idx val="1"/>
          <c:order val="1"/>
          <c:tx>
            <c:strRef>
              <c:f>Dashboard!D30</c:f>
              <c:strCache>
                <c:ptCount val="1"/>
                <c:pt idx="0">
                  <c:v>Actual $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Dashboard!$A$31:$A$33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Dashboard!$D$31:$D$33</c:f>
              <c:numCache>
                <c:formatCode>\$#,##0.00</c:formatCode>
                <c:ptCount val="3"/>
                <c:pt idx="0">
                  <c:v>-0</c:v>
                </c:pt>
                <c:pt idx="1">
                  <c:v>-0</c:v>
                </c:pt>
                <c:pt idx="2">
                  <c:v>-0</c:v>
                </c:pt>
              </c:numCache>
            </c:numRef>
          </c:val>
        </c:ser>
        <c:gapWidth val="150"/>
        <c:overlap val="0"/>
        <c:axId val="65536110"/>
        <c:axId val="74350669"/>
      </c:barChart>
      <c:catAx>
        <c:axId val="655361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50669"/>
        <c:crosses val="autoZero"/>
        <c:auto val="1"/>
        <c:lblAlgn val="ctr"/>
        <c:lblOffset val="100"/>
        <c:noMultiLvlLbl val="0"/>
      </c:catAx>
      <c:valAx>
        <c:axId val="743506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361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Worth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'Net Worth History'!D4</c:f>
              <c:strCache>
                <c:ptCount val="1"/>
                <c:pt idx="0">
                  <c:v>Net Worth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'Net Worth History'!$A$5:$A$6</c:f>
              <c:strCache>
                <c:ptCount val="2"/>
                <c:pt idx="0">
                  <c:v>2026-08-25</c:v>
                </c:pt>
                <c:pt idx="1">
                  <c:v>2025-12-01</c:v>
                </c:pt>
              </c:strCache>
            </c:strRef>
          </c:cat>
          <c:val>
            <c:numRef>
              <c:f>'Net Worth History'!$D$5:$D$6</c:f>
              <c:numCache>
                <c:formatCode>\$#,##0.00</c:formatCode>
                <c:ptCount val="2"/>
                <c:pt idx="0">
                  <c:v>42900</c:v>
                </c:pt>
                <c:pt idx="1">
                  <c:v>29000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816398"/>
        <c:axId val="53678655"/>
      </c:lineChart>
      <c:catAx>
        <c:axId val="8381639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78655"/>
        <c:crosses val="autoZero"/>
        <c:auto val="1"/>
        <c:lblAlgn val="ctr"/>
        <c:lblOffset val="100"/>
        <c:noMultiLvlLbl val="0"/>
      </c:catAx>
      <c:valAx>
        <c:axId val="53678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163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11</xdr:row>
      <xdr:rowOff>71280</xdr:rowOff>
    </xdr:from>
    <xdr:to>
      <xdr:col>14</xdr:col>
      <xdr:colOff>147600</xdr:colOff>
      <xdr:row>27</xdr:row>
      <xdr:rowOff>112320</xdr:rowOff>
    </xdr:to>
    <xdr:graphicFrame>
      <xdr:nvGraphicFramePr>
        <xdr:cNvPr id="0" name="Chart 1"/>
        <xdr:cNvGraphicFramePr/>
      </xdr:nvGraphicFramePr>
      <xdr:xfrm>
        <a:off x="6814080" y="22860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29</xdr:row>
      <xdr:rowOff>111240</xdr:rowOff>
    </xdr:from>
    <xdr:to>
      <xdr:col>16</xdr:col>
      <xdr:colOff>364320</xdr:colOff>
      <xdr:row>46</xdr:row>
      <xdr:rowOff>112320</xdr:rowOff>
    </xdr:to>
    <xdr:graphicFrame>
      <xdr:nvGraphicFramePr>
        <xdr:cNvPr id="1" name="Chart 2"/>
        <xdr:cNvGraphicFramePr/>
      </xdr:nvGraphicFramePr>
      <xdr:xfrm>
        <a:off x="6814080" y="5905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33</xdr:row>
      <xdr:rowOff>111240</xdr:rowOff>
    </xdr:from>
    <xdr:to>
      <xdr:col>4</xdr:col>
      <xdr:colOff>684720</xdr:colOff>
      <xdr:row>50</xdr:row>
      <xdr:rowOff>112320</xdr:rowOff>
    </xdr:to>
    <xdr:graphicFrame>
      <xdr:nvGraphicFramePr>
        <xdr:cNvPr id="2" name="Chart 3"/>
        <xdr:cNvGraphicFramePr/>
      </xdr:nvGraphicFramePr>
      <xdr:xfrm>
        <a:off x="0" y="6667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48</xdr:row>
      <xdr:rowOff>110880</xdr:rowOff>
    </xdr:from>
    <xdr:to>
      <xdr:col>16</xdr:col>
      <xdr:colOff>364320</xdr:colOff>
      <xdr:row>65</xdr:row>
      <xdr:rowOff>112320</xdr:rowOff>
    </xdr:to>
    <xdr:graphicFrame>
      <xdr:nvGraphicFramePr>
        <xdr:cNvPr id="3" name="Chart 4"/>
        <xdr:cNvGraphicFramePr/>
      </xdr:nvGraphicFramePr>
      <xdr:xfrm>
        <a:off x="6814080" y="9524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C4" s="4" t="str">
        <f aca="true">TEXT(TODAY(),"YYYY-MM")</f>
        <v>2026-08</v>
      </c>
    </row>
    <row r="6" customFormat="false" ht="15" hidden="false" customHeight="false" outlineLevel="0" collapsed="false">
      <c r="A6" s="3" t="s">
        <v>3</v>
      </c>
      <c r="C6" s="3" t="s">
        <v>4</v>
      </c>
      <c r="E6" s="3" t="s">
        <v>5</v>
      </c>
    </row>
    <row r="7" customFormat="false" ht="19.7" hidden="false" customHeight="false" outlineLevel="0" collapsed="false">
      <c r="A7" s="5" t="n">
        <f aca="false">Accounts!$B$51</f>
        <v>42900</v>
      </c>
      <c r="C7" s="6" t="n">
        <f aca="false">SUMIFS(Transactions!$F$5:$F$500,Transactions!$L$5:$L$500,Dashboard!$C$4,Transactions!$M$5:$M$500,"Income")</f>
        <v>0</v>
      </c>
      <c r="E7" s="7" t="n">
        <f aca="false">-(SUMIFS(Transactions!$I$5:$I$500,Transactions!$L$5:$L$500,Dashboard!$C$4,Transactions!$M$5:$M$500,"Needs")+SUMIFS(Transactions!$I$5:$I$500,Transactions!$L$5:$L$500,Dashboard!$C$4,Transactions!$M$5:$M$500,"Wants"))</f>
        <v>-0</v>
      </c>
    </row>
    <row r="9" customFormat="false" ht="15" hidden="false" customHeight="false" outlineLevel="0" collapsed="false">
      <c r="A9" s="3" t="s">
        <v>6</v>
      </c>
    </row>
    <row r="10" customFormat="false" ht="17.35" hidden="false" customHeight="false" outlineLevel="0" collapsed="false">
      <c r="A10" s="8" t="n">
        <f aca="false">SUM(Transactions!H5:H500)-SUMIFS(Transactions!F5:F500,Transactions!E5:E500,"Reimbursement")</f>
        <v>40</v>
      </c>
    </row>
    <row r="13" customFormat="false" ht="26.85" hidden="false" customHeight="false" outlineLevel="0" collapsed="false">
      <c r="A13" s="9" t="s">
        <v>7</v>
      </c>
      <c r="B13" s="9" t="s">
        <v>8</v>
      </c>
      <c r="C13" s="9" t="s">
        <v>9</v>
      </c>
      <c r="D13" s="9" t="s">
        <v>10</v>
      </c>
      <c r="E13" s="9" t="s">
        <v>11</v>
      </c>
    </row>
    <row r="14" customFormat="false" ht="15" hidden="false" customHeight="false" outlineLevel="0" collapsed="false">
      <c r="A14" s="10" t="str">
        <f aca="false">Categories!A5</f>
        <v>Groceries</v>
      </c>
      <c r="B14" s="10" t="s">
        <v>12</v>
      </c>
      <c r="C14" s="11" t="n">
        <f aca="false">Categories!C5</f>
        <v>500</v>
      </c>
      <c r="D14" s="12" t="n">
        <f aca="false">-SUMIFS(Transactions!$I$5:$I$500,Transactions!$L$5:$L$500,Dashboard!$C$4,Transactions!$E$5:$E$500,A14)</f>
        <v>-0</v>
      </c>
      <c r="E14" s="12" t="n">
        <f aca="false">C14-D14</f>
        <v>500</v>
      </c>
    </row>
    <row r="15" customFormat="false" ht="15" hidden="false" customHeight="false" outlineLevel="0" collapsed="false">
      <c r="A15" s="10" t="str">
        <f aca="false">Categories!A6</f>
        <v>Dining Out</v>
      </c>
      <c r="B15" s="10" t="s">
        <v>13</v>
      </c>
      <c r="C15" s="11" t="n">
        <f aca="false">Categories!C6</f>
        <v>200</v>
      </c>
      <c r="D15" s="12" t="n">
        <f aca="false">-SUMIFS(Transactions!$I$5:$I$500,Transactions!$L$5:$L$500,Dashboard!$C$4,Transactions!$E$5:$E$500,A15)</f>
        <v>-0</v>
      </c>
      <c r="E15" s="12" t="n">
        <f aca="false">C15-D15</f>
        <v>200</v>
      </c>
    </row>
    <row r="16" customFormat="false" ht="15" hidden="false" customHeight="false" outlineLevel="0" collapsed="false">
      <c r="A16" s="10" t="str">
        <f aca="false">Categories!A7</f>
        <v>Transport</v>
      </c>
      <c r="B16" s="10" t="s">
        <v>12</v>
      </c>
      <c r="C16" s="11" t="n">
        <f aca="false">Categories!C7</f>
        <v>150</v>
      </c>
      <c r="D16" s="12" t="n">
        <f aca="false">-SUMIFS(Transactions!$I$5:$I$500,Transactions!$L$5:$L$500,Dashboard!$C$4,Transactions!$E$5:$E$500,A16)</f>
        <v>-0</v>
      </c>
      <c r="E16" s="12" t="n">
        <f aca="false">C16-D16</f>
        <v>150</v>
      </c>
    </row>
    <row r="17" customFormat="false" ht="15" hidden="false" customHeight="false" outlineLevel="0" collapsed="false">
      <c r="A17" s="10" t="str">
        <f aca="false">Categories!A8</f>
        <v>Rent/Mortgage</v>
      </c>
      <c r="B17" s="10" t="s">
        <v>12</v>
      </c>
      <c r="C17" s="11" t="n">
        <f aca="false">Categories!C8</f>
        <v>1800</v>
      </c>
      <c r="D17" s="12" t="n">
        <f aca="false">-SUMIFS(Transactions!$I$5:$I$500,Transactions!$L$5:$L$500,Dashboard!$C$4,Transactions!$E$5:$E$500,A17)</f>
        <v>-0</v>
      </c>
      <c r="E17" s="12" t="n">
        <f aca="false">C17-D17</f>
        <v>1800</v>
      </c>
    </row>
    <row r="18" customFormat="false" ht="15" hidden="false" customHeight="false" outlineLevel="0" collapsed="false">
      <c r="A18" s="10" t="str">
        <f aca="false">Categories!A9</f>
        <v>Utilities</v>
      </c>
      <c r="B18" s="10" t="s">
        <v>12</v>
      </c>
      <c r="C18" s="11" t="n">
        <f aca="false">Categories!C9</f>
        <v>200</v>
      </c>
      <c r="D18" s="12" t="n">
        <f aca="false">-SUMIFS(Transactions!$I$5:$I$500,Transactions!$L$5:$L$500,Dashboard!$C$4,Transactions!$E$5:$E$500,A18)</f>
        <v>-0</v>
      </c>
      <c r="E18" s="12" t="n">
        <f aca="false">C18-D18</f>
        <v>200</v>
      </c>
    </row>
    <row r="19" customFormat="false" ht="15" hidden="false" customHeight="false" outlineLevel="0" collapsed="false">
      <c r="A19" s="10" t="str">
        <f aca="false">Categories!A10</f>
        <v>Entertainment</v>
      </c>
      <c r="B19" s="10" t="s">
        <v>13</v>
      </c>
      <c r="C19" s="11" t="n">
        <f aca="false">Categories!C10</f>
        <v>100</v>
      </c>
      <c r="D19" s="12" t="n">
        <f aca="false">-SUMIFS(Transactions!$I$5:$I$500,Transactions!$L$5:$L$500,Dashboard!$C$4,Transactions!$E$5:$E$500,A19)</f>
        <v>-0</v>
      </c>
      <c r="E19" s="12" t="n">
        <f aca="false">C19-D19</f>
        <v>100</v>
      </c>
    </row>
    <row r="20" customFormat="false" ht="15" hidden="false" customHeight="false" outlineLevel="0" collapsed="false">
      <c r="A20" s="10" t="str">
        <f aca="false">Categories!A11</f>
        <v>Shopping</v>
      </c>
      <c r="B20" s="10" t="s">
        <v>13</v>
      </c>
      <c r="C20" s="11" t="n">
        <f aca="false">Categories!C11</f>
        <v>150</v>
      </c>
      <c r="D20" s="12" t="n">
        <f aca="false">-SUMIFS(Transactions!$I$5:$I$500,Transactions!$L$5:$L$500,Dashboard!$C$4,Transactions!$E$5:$E$500,A20)</f>
        <v>-0</v>
      </c>
      <c r="E20" s="12" t="n">
        <f aca="false">C20-D20</f>
        <v>150</v>
      </c>
    </row>
    <row r="21" customFormat="false" ht="15" hidden="false" customHeight="false" outlineLevel="0" collapsed="false">
      <c r="A21" s="10" t="str">
        <f aca="false">Categories!A12</f>
        <v>Health</v>
      </c>
      <c r="B21" s="10" t="s">
        <v>12</v>
      </c>
      <c r="C21" s="11" t="n">
        <f aca="false">Categories!C12</f>
        <v>100</v>
      </c>
      <c r="D21" s="12" t="n">
        <f aca="false">-SUMIFS(Transactions!$I$5:$I$500,Transactions!$L$5:$L$500,Dashboard!$C$4,Transactions!$E$5:$E$500,A21)</f>
        <v>-0</v>
      </c>
      <c r="E21" s="12" t="n">
        <f aca="false">C21-D21</f>
        <v>100</v>
      </c>
    </row>
    <row r="22" customFormat="false" ht="15" hidden="false" customHeight="false" outlineLevel="0" collapsed="false">
      <c r="A22" s="10" t="str">
        <f aca="false">Categories!A13</f>
        <v>Travel</v>
      </c>
      <c r="B22" s="10" t="s">
        <v>13</v>
      </c>
      <c r="C22" s="11" t="n">
        <f aca="false">Categories!C13</f>
        <v>100</v>
      </c>
      <c r="D22" s="12" t="n">
        <f aca="false">-SUMIFS(Transactions!$I$5:$I$500,Transactions!$L$5:$L$500,Dashboard!$C$4,Transactions!$E$5:$E$500,A22)</f>
        <v>-0</v>
      </c>
      <c r="E22" s="12" t="n">
        <f aca="false">C22-D22</f>
        <v>100</v>
      </c>
    </row>
    <row r="23" customFormat="false" ht="15" hidden="false" customHeight="false" outlineLevel="0" collapsed="false">
      <c r="A23" s="10" t="str">
        <f aca="false">Categories!A14</f>
        <v>Subscriptions</v>
      </c>
      <c r="B23" s="10" t="s">
        <v>13</v>
      </c>
      <c r="C23" s="11" t="n">
        <f aca="false">Categories!C14</f>
        <v>50</v>
      </c>
      <c r="D23" s="12" t="n">
        <f aca="false">-SUMIFS(Transactions!$I$5:$I$500,Transactions!$L$5:$L$500,Dashboard!$C$4,Transactions!$E$5:$E$500,A23)</f>
        <v>-0</v>
      </c>
      <c r="E23" s="12" t="n">
        <f aca="false">C23-D23</f>
        <v>50</v>
      </c>
    </row>
    <row r="24" customFormat="false" ht="15" hidden="false" customHeight="false" outlineLevel="0" collapsed="false">
      <c r="A24" s="10" t="str">
        <f aca="false">Categories!A15</f>
        <v>Miscellaneous Expenses</v>
      </c>
      <c r="B24" s="10" t="s">
        <v>13</v>
      </c>
      <c r="C24" s="11" t="n">
        <f aca="false">Categories!C15</f>
        <v>100</v>
      </c>
      <c r="D24" s="12" t="n">
        <f aca="false">-SUMIFS(Transactions!$I$5:$I$500,Transactions!$L$5:$L$500,Dashboard!$C$4,Transactions!$E$5:$E$500,A24)</f>
        <v>-0</v>
      </c>
      <c r="E24" s="12" t="n">
        <f aca="false">C24-D24</f>
        <v>100</v>
      </c>
    </row>
    <row r="27" customFormat="false" ht="15" hidden="false" customHeight="false" outlineLevel="0" collapsed="false">
      <c r="A27" s="13" t="s">
        <v>14</v>
      </c>
    </row>
    <row r="28" customFormat="false" ht="15" hidden="false" customHeight="false" outlineLevel="0" collapsed="false">
      <c r="A28" s="3" t="s">
        <v>15</v>
      </c>
      <c r="B28" s="14" t="s">
        <v>16</v>
      </c>
      <c r="C28" s="15" t="n">
        <f aca="false">SUMIFS(Categories!$C$5:$C$60,Categories!$B$5:$B$60,"Income")</f>
        <v>6000</v>
      </c>
    </row>
    <row r="30" customFormat="false" ht="15" hidden="false" customHeight="false" outlineLevel="0" collapsed="false">
      <c r="A30" s="9" t="s">
        <v>8</v>
      </c>
      <c r="B30" s="9" t="s">
        <v>17</v>
      </c>
      <c r="C30" s="9" t="s">
        <v>18</v>
      </c>
      <c r="D30" s="9" t="s">
        <v>19</v>
      </c>
      <c r="E30" s="9" t="s">
        <v>20</v>
      </c>
    </row>
    <row r="31" customFormat="false" ht="15" hidden="false" customHeight="false" outlineLevel="0" collapsed="false">
      <c r="A31" s="10" t="s">
        <v>12</v>
      </c>
      <c r="B31" s="16" t="n">
        <v>0.5</v>
      </c>
      <c r="C31" s="17" t="n">
        <f aca="false">B31*$C$28</f>
        <v>3000</v>
      </c>
      <c r="D31" s="17" t="n">
        <f aca="false">IF($C$4="","",-SUMIFS(Transactions!$I$5:$I$500,Transactions!$L$5:$L$500,$C$4,Transactions!$M$5:$M$500,"Needs"))</f>
        <v>-0</v>
      </c>
      <c r="E31" s="18" t="n">
        <f aca="false">IFERROR(D31/$C$7,0)</f>
        <v>0</v>
      </c>
    </row>
    <row r="32" customFormat="false" ht="15" hidden="false" customHeight="false" outlineLevel="0" collapsed="false">
      <c r="A32" s="10" t="s">
        <v>13</v>
      </c>
      <c r="B32" s="16" t="n">
        <v>0.3</v>
      </c>
      <c r="C32" s="17" t="n">
        <f aca="false">B32*$C$28</f>
        <v>1800</v>
      </c>
      <c r="D32" s="17" t="n">
        <f aca="false">IF($C$4="","",-SUMIFS(Transactions!$I$5:$I$500,Transactions!$L$5:$L$500,$C$4,Transactions!$M$5:$M$500,"Wants"))</f>
        <v>-0</v>
      </c>
      <c r="E32" s="18" t="n">
        <f aca="false">IFERROR(D32/$C$7,0)</f>
        <v>0</v>
      </c>
    </row>
    <row r="33" customFormat="false" ht="15" hidden="false" customHeight="false" outlineLevel="0" collapsed="false">
      <c r="A33" s="10" t="s">
        <v>21</v>
      </c>
      <c r="B33" s="16" t="n">
        <v>0.2</v>
      </c>
      <c r="C33" s="17" t="n">
        <f aca="false">B33*$C$28</f>
        <v>1200</v>
      </c>
      <c r="D33" s="17" t="n">
        <f aca="false">IF($C$4="","",-SUMIFS(Transactions!$I$5:$I$500,Transactions!$L$5:$L$500,$C$4,Transactions!$M$5:$M$500,"Savings"))</f>
        <v>-0</v>
      </c>
      <c r="E33" s="18" t="n">
        <f aca="false">IFERROR(D33/$C$7,0)</f>
        <v>0</v>
      </c>
    </row>
    <row r="34" customFormat="false" ht="15" hidden="false" customHeight="false" outlineLevel="0" collapsed="false">
      <c r="A34" s="19" t="s">
        <v>22</v>
      </c>
      <c r="B34" s="20" t="n">
        <f aca="false">SUM(B31:B33)</f>
        <v>1</v>
      </c>
      <c r="C34" s="21" t="n">
        <f aca="false">SUM(C31:C33)</f>
        <v>6000</v>
      </c>
      <c r="D34" s="21" t="n">
        <f aca="false">SUM(D31:D33)</f>
        <v>0</v>
      </c>
      <c r="E34" s="22" t="n">
        <f aca="false">SUM(E31:E33)</f>
        <v>0</v>
      </c>
    </row>
  </sheetData>
  <mergeCells count="2">
    <mergeCell ref="A1:F1"/>
    <mergeCell ref="A2:F2"/>
  </mergeCells>
  <conditionalFormatting sqref="E14:E2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34"/>
    <col collapsed="false" customWidth="true" hidden="false" outlineLevel="0" max="13" min="12" style="0" width="10"/>
  </cols>
  <sheetData>
    <row r="1" customFormat="false" ht="17.35" hidden="false" customHeight="fals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6.85" hidden="false" customHeight="false" outlineLevel="0" collapsed="false">
      <c r="A4" s="9" t="s">
        <v>25</v>
      </c>
      <c r="B4" s="9" t="s">
        <v>26</v>
      </c>
      <c r="C4" s="9" t="s">
        <v>27</v>
      </c>
      <c r="D4" s="9" t="s">
        <v>28</v>
      </c>
      <c r="E4" s="9" t="s">
        <v>7</v>
      </c>
      <c r="F4" s="9" t="s">
        <v>29</v>
      </c>
      <c r="G4" s="9" t="s">
        <v>30</v>
      </c>
      <c r="H4" s="9" t="s">
        <v>31</v>
      </c>
      <c r="I4" s="9" t="s">
        <v>32</v>
      </c>
      <c r="J4" s="9" t="s">
        <v>33</v>
      </c>
      <c r="K4" s="9" t="s">
        <v>34</v>
      </c>
      <c r="L4" s="9" t="s">
        <v>35</v>
      </c>
      <c r="M4" s="9" t="s">
        <v>8</v>
      </c>
    </row>
    <row r="5" customFormat="false" ht="15" hidden="false" customHeight="false" outlineLevel="0" collapsed="false">
      <c r="A5" s="10" t="str">
        <f aca="false">IF(B5="","","T"&amp;TEXT(ROW()-4,"0000"))</f>
        <v>T0001</v>
      </c>
      <c r="B5" s="23" t="s">
        <v>36</v>
      </c>
      <c r="C5" s="10" t="s">
        <v>37</v>
      </c>
      <c r="D5" s="10" t="s">
        <v>38</v>
      </c>
      <c r="E5" s="10" t="s">
        <v>39</v>
      </c>
      <c r="F5" s="24" t="n">
        <v>6000</v>
      </c>
      <c r="G5" s="10" t="s">
        <v>40</v>
      </c>
      <c r="H5" s="24" t="n">
        <v>0</v>
      </c>
      <c r="I5" s="12" t="n">
        <f aca="false">IF(F5="","",F5+H5)</f>
        <v>6000</v>
      </c>
      <c r="J5" s="10"/>
      <c r="K5" s="10" t="s">
        <v>41</v>
      </c>
      <c r="L5" s="10" t="str">
        <f aca="false">IF(B5="","",TEXT(B5,"YYYY-MM"))</f>
        <v>2026-01</v>
      </c>
      <c r="M5" s="10" t="str">
        <f aca="false">IF($E5="","",IFERROR(VLOOKUP($E5,Categories!$A:$B,2,FALSE()),""))</f>
        <v>Income</v>
      </c>
    </row>
    <row r="6" customFormat="false" ht="15" hidden="false" customHeight="false" outlineLevel="0" collapsed="false">
      <c r="A6" s="10" t="str">
        <f aca="false">IF(B6="","","T"&amp;TEXT(ROW()-4,"0000"))</f>
        <v>T0002</v>
      </c>
      <c r="B6" s="23" t="s">
        <v>42</v>
      </c>
      <c r="C6" s="10" t="s">
        <v>37</v>
      </c>
      <c r="D6" s="10" t="s">
        <v>43</v>
      </c>
      <c r="E6" s="10" t="s">
        <v>44</v>
      </c>
      <c r="F6" s="24" t="n">
        <v>-85.32</v>
      </c>
      <c r="G6" s="10" t="s">
        <v>40</v>
      </c>
      <c r="H6" s="24" t="n">
        <v>0</v>
      </c>
      <c r="I6" s="12" t="n">
        <f aca="false">IF(F6="","",F6+H6)</f>
        <v>-85.32</v>
      </c>
      <c r="J6" s="10"/>
      <c r="K6" s="10"/>
      <c r="L6" s="10" t="str">
        <f aca="false">IF(B6="","",TEXT(B6,"YYYY-MM"))</f>
        <v>2026-01</v>
      </c>
      <c r="M6" s="10" t="str">
        <f aca="false">IF($E6="","",IFERROR(VLOOKUP($E6,Categories!$A:$B,2,FALSE()),""))</f>
        <v>Needs</v>
      </c>
    </row>
    <row r="7" customFormat="false" ht="15" hidden="false" customHeight="false" outlineLevel="0" collapsed="false">
      <c r="A7" s="10" t="str">
        <f aca="false">IF(B7="","","T"&amp;TEXT(ROW()-4,"0000"))</f>
        <v>T0003</v>
      </c>
      <c r="B7" s="23" t="s">
        <v>45</v>
      </c>
      <c r="C7" s="10" t="s">
        <v>46</v>
      </c>
      <c r="D7" s="10" t="s">
        <v>47</v>
      </c>
      <c r="E7" s="10" t="s">
        <v>48</v>
      </c>
      <c r="F7" s="24" t="n">
        <v>-180</v>
      </c>
      <c r="G7" s="10" t="s">
        <v>49</v>
      </c>
      <c r="H7" s="24" t="n">
        <v>120</v>
      </c>
      <c r="I7" s="12" t="n">
        <f aca="false">IF(F7="","",F7+H7)</f>
        <v>-60</v>
      </c>
      <c r="J7" s="10"/>
      <c r="K7" s="10" t="s">
        <v>50</v>
      </c>
      <c r="L7" s="10" t="str">
        <f aca="false">IF(B7="","",TEXT(B7,"YYYY-MM"))</f>
        <v>2026-01</v>
      </c>
      <c r="M7" s="10" t="str">
        <f aca="false">IF($E7="","",IFERROR(VLOOKUP($E7,Categories!$A:$B,2,FALSE()),""))</f>
        <v>Wants</v>
      </c>
    </row>
    <row r="8" customFormat="false" ht="15" hidden="false" customHeight="false" outlineLevel="0" collapsed="false">
      <c r="A8" s="10" t="str">
        <f aca="false">IF(B8="","","T"&amp;TEXT(ROW()-4,"0000"))</f>
        <v>T0004</v>
      </c>
      <c r="B8" s="23" t="s">
        <v>51</v>
      </c>
      <c r="C8" s="10" t="s">
        <v>52</v>
      </c>
      <c r="D8" s="10" t="s">
        <v>53</v>
      </c>
      <c r="E8" s="10" t="s">
        <v>54</v>
      </c>
      <c r="F8" s="24" t="n">
        <v>80</v>
      </c>
      <c r="G8" s="10" t="s">
        <v>40</v>
      </c>
      <c r="H8" s="24" t="n">
        <v>0</v>
      </c>
      <c r="I8" s="12" t="n">
        <f aca="false">IF(F8="","",F8+H8)</f>
        <v>80</v>
      </c>
      <c r="J8" s="10"/>
      <c r="K8" s="10" t="s">
        <v>55</v>
      </c>
      <c r="L8" s="10" t="str">
        <f aca="false">IF(B8="","",TEXT(B8,"YYYY-MM"))</f>
        <v>2026-01</v>
      </c>
      <c r="M8" s="10" t="str">
        <f aca="false">IF($E8="","",IFERROR(VLOOKUP($E8,Categories!$A:$B,2,FALSE()),""))</f>
        <v>Transfer</v>
      </c>
    </row>
    <row r="9" customFormat="false" ht="15" hidden="false" customHeight="false" outlineLevel="0" collapsed="false">
      <c r="A9" s="10" t="str">
        <f aca="false">IF(B9="","","T"&amp;TEXT(ROW()-4,"0000"))</f>
        <v>T0005</v>
      </c>
      <c r="B9" s="23" t="s">
        <v>51</v>
      </c>
      <c r="C9" s="10" t="s">
        <v>37</v>
      </c>
      <c r="D9" s="10" t="s">
        <v>56</v>
      </c>
      <c r="E9" s="10" t="s">
        <v>57</v>
      </c>
      <c r="F9" s="24" t="n">
        <v>-500</v>
      </c>
      <c r="G9" s="10" t="s">
        <v>40</v>
      </c>
      <c r="H9" s="24" t="n">
        <v>0</v>
      </c>
      <c r="I9" s="12" t="n">
        <f aca="false">IF(F9="","",F9+H9)</f>
        <v>-500</v>
      </c>
      <c r="J9" s="10"/>
      <c r="K9" s="10" t="s">
        <v>58</v>
      </c>
      <c r="L9" s="10" t="str">
        <f aca="false">IF(B9="","",TEXT(B9,"YYYY-MM"))</f>
        <v>2026-01</v>
      </c>
      <c r="M9" s="10" t="str">
        <f aca="false">IF($E9="","",IFERROR(VLOOKUP($E9,Categories!$A:$B,2,FALSE()),""))</f>
        <v>Transfer</v>
      </c>
    </row>
    <row r="10" customFormat="false" ht="15" hidden="false" customHeight="false" outlineLevel="0" collapsed="false">
      <c r="A10" s="10" t="str">
        <f aca="false">IF(B10="","","T"&amp;TEXT(ROW()-4,"0000"))</f>
        <v>T0006</v>
      </c>
      <c r="B10" s="23" t="s">
        <v>51</v>
      </c>
      <c r="C10" s="10" t="s">
        <v>59</v>
      </c>
      <c r="D10" s="10" t="s">
        <v>60</v>
      </c>
      <c r="E10" s="10" t="s">
        <v>57</v>
      </c>
      <c r="F10" s="24" t="n">
        <v>500</v>
      </c>
      <c r="G10" s="10" t="s">
        <v>40</v>
      </c>
      <c r="H10" s="24" t="n">
        <v>0</v>
      </c>
      <c r="I10" s="12" t="n">
        <f aca="false">IF(F10="","",F10+H10)</f>
        <v>500</v>
      </c>
      <c r="J10" s="10"/>
      <c r="K10" s="10" t="s">
        <v>61</v>
      </c>
      <c r="L10" s="10" t="str">
        <f aca="false">IF(B10="","",TEXT(B10,"YYYY-MM"))</f>
        <v>2026-01</v>
      </c>
      <c r="M10" s="10" t="str">
        <f aca="false">IF($E10="","",IFERROR(VLOOKUP($E10,Categories!$A:$B,2,FALSE()),""))</f>
        <v>Transfer</v>
      </c>
    </row>
    <row r="11" customFormat="false" ht="15" hidden="false" customHeight="false" outlineLevel="0" collapsed="false">
      <c r="A11" s="10" t="str">
        <f aca="false">IF(B11="","","T"&amp;TEXT(ROW()-4,"0000"))</f>
        <v>T0007</v>
      </c>
      <c r="B11" s="23" t="s">
        <v>62</v>
      </c>
      <c r="C11" s="10" t="s">
        <v>37</v>
      </c>
      <c r="D11" s="10" t="s">
        <v>63</v>
      </c>
      <c r="E11" s="10" t="s">
        <v>64</v>
      </c>
      <c r="F11" s="24" t="n">
        <v>-600</v>
      </c>
      <c r="G11" s="10" t="s">
        <v>40</v>
      </c>
      <c r="H11" s="24" t="n">
        <v>0</v>
      </c>
      <c r="I11" s="12" t="n">
        <f aca="false">IF(F11="","",F11+H11)</f>
        <v>-600</v>
      </c>
      <c r="J11" s="10"/>
      <c r="K11" s="10" t="s">
        <v>65</v>
      </c>
      <c r="L11" s="10" t="str">
        <f aca="false">IF(B11="","",TEXT(B11,"YYYY-MM"))</f>
        <v>2026-01</v>
      </c>
      <c r="M11" s="10" t="str">
        <f aca="false">IF($E11="","",IFERROR(VLOOKUP($E11,Categories!$A:$B,2,FALSE()),""))</f>
        <v>Savings</v>
      </c>
    </row>
    <row r="12" customFormat="false" ht="15" hidden="false" customHeight="false" outlineLevel="0" collapsed="false">
      <c r="A12" s="10" t="str">
        <f aca="false">IF(B12="","","T"&amp;TEXT(ROW()-4,"0000"))</f>
        <v>T0008</v>
      </c>
      <c r="B12" s="23" t="s">
        <v>66</v>
      </c>
      <c r="C12" s="10" t="s">
        <v>59</v>
      </c>
      <c r="D12" s="10" t="s">
        <v>67</v>
      </c>
      <c r="E12" s="10" t="s">
        <v>68</v>
      </c>
      <c r="F12" s="24" t="n">
        <v>12.4</v>
      </c>
      <c r="G12" s="10" t="s">
        <v>40</v>
      </c>
      <c r="H12" s="24" t="n">
        <v>0</v>
      </c>
      <c r="I12" s="12" t="n">
        <f aca="false">IF(F12="","",F12+H12)</f>
        <v>12.4</v>
      </c>
      <c r="J12" s="10"/>
      <c r="K12" s="10"/>
      <c r="L12" s="10" t="str">
        <f aca="false">IF(B12="","",TEXT(B12,"YYYY-MM"))</f>
        <v>2026-01</v>
      </c>
      <c r="M12" s="10" t="str">
        <f aca="false">IF($E12="","",IFERROR(VLOOKUP($E12,Categories!$A:$B,2,FALSE()),""))</f>
        <v>Income</v>
      </c>
    </row>
    <row r="13" customFormat="false" ht="15" hidden="false" customHeight="false" outlineLevel="0" collapsed="false">
      <c r="A13" s="10" t="str">
        <f aca="false">IF(B13="","","T"&amp;TEXT(ROW()-4,"0000"))</f>
        <v>T0009</v>
      </c>
      <c r="B13" s="23" t="s">
        <v>69</v>
      </c>
      <c r="C13" s="10" t="s">
        <v>46</v>
      </c>
      <c r="D13" s="10" t="s">
        <v>70</v>
      </c>
      <c r="E13" s="10" t="s">
        <v>71</v>
      </c>
      <c r="F13" s="24" t="n">
        <v>-22</v>
      </c>
      <c r="G13" s="10" t="s">
        <v>40</v>
      </c>
      <c r="H13" s="24" t="n">
        <v>0</v>
      </c>
      <c r="I13" s="12" t="n">
        <f aca="false">IF(F13="","",F13+H13)</f>
        <v>-22</v>
      </c>
      <c r="J13" s="10"/>
      <c r="K13" s="10"/>
      <c r="L13" s="10" t="str">
        <f aca="false">IF(B13="","",TEXT(B13,"YYYY-MM"))</f>
        <v>2026-01</v>
      </c>
      <c r="M13" s="10" t="str">
        <f aca="false">IF($E13="","",IFERROR(VLOOKUP($E13,Categories!$A:$B,2,FALSE()),""))</f>
        <v>Wants</v>
      </c>
    </row>
    <row r="14" customFormat="false" ht="15" hidden="false" customHeight="false" outlineLevel="0" collapsed="false">
      <c r="A14" s="10" t="str">
        <f aca="false">IF(B14="","","T"&amp;TEXT(ROW()-4,"0000"))</f>
        <v/>
      </c>
      <c r="B14" s="23"/>
      <c r="C14" s="10"/>
      <c r="D14" s="10"/>
      <c r="E14" s="10"/>
      <c r="F14" s="25"/>
      <c r="G14" s="10"/>
      <c r="H14" s="25"/>
      <c r="I14" s="12" t="str">
        <f aca="false">IF(F14="","",F14+H14)</f>
        <v/>
      </c>
      <c r="J14" s="10"/>
      <c r="K14" s="10"/>
      <c r="L14" s="10" t="str">
        <f aca="false">IF(B14="","",TEXT(B14,"YYYY-MM"))</f>
        <v/>
      </c>
      <c r="M14" s="10" t="str">
        <f aca="false">IF($E14="","",IFERROR(VLOOKUP($E14,Categories!$A:$B,2,FALSE()),""))</f>
        <v/>
      </c>
    </row>
    <row r="15" customFormat="false" ht="15" hidden="false" customHeight="false" outlineLevel="0" collapsed="false">
      <c r="A15" s="10" t="str">
        <f aca="false">IF(B15="","","T"&amp;TEXT(ROW()-4,"0000"))</f>
        <v/>
      </c>
      <c r="B15" s="23"/>
      <c r="C15" s="10"/>
      <c r="D15" s="10"/>
      <c r="E15" s="10"/>
      <c r="F15" s="25"/>
      <c r="G15" s="10"/>
      <c r="H15" s="25"/>
      <c r="I15" s="12" t="str">
        <f aca="false">IF(F15="","",F15+H15)</f>
        <v/>
      </c>
      <c r="J15" s="10"/>
      <c r="K15" s="10"/>
      <c r="L15" s="10" t="str">
        <f aca="false">IF(B15="","",TEXT(B15,"YYYY-MM"))</f>
        <v/>
      </c>
      <c r="M15" s="10" t="str">
        <f aca="false">IF($E15="","",IFERROR(VLOOKUP($E15,Categories!$A:$B,2,FALSE()),""))</f>
        <v/>
      </c>
    </row>
    <row r="16" customFormat="false" ht="15" hidden="false" customHeight="false" outlineLevel="0" collapsed="false">
      <c r="A16" s="10" t="str">
        <f aca="false">IF(B16="","","T"&amp;TEXT(ROW()-4,"0000"))</f>
        <v/>
      </c>
      <c r="B16" s="23"/>
      <c r="C16" s="10"/>
      <c r="D16" s="10"/>
      <c r="E16" s="10"/>
      <c r="F16" s="25"/>
      <c r="G16" s="10"/>
      <c r="H16" s="25"/>
      <c r="I16" s="12" t="str">
        <f aca="false">IF(F16="","",F16+H16)</f>
        <v/>
      </c>
      <c r="J16" s="10"/>
      <c r="K16" s="10"/>
      <c r="L16" s="10" t="str">
        <f aca="false">IF(B16="","",TEXT(B16,"YYYY-MM"))</f>
        <v/>
      </c>
      <c r="M16" s="10" t="str">
        <f aca="false">IF($E16="","",IFERROR(VLOOKUP($E16,Categories!$A:$B,2,FALSE()),""))</f>
        <v/>
      </c>
    </row>
    <row r="17" customFormat="false" ht="15" hidden="false" customHeight="false" outlineLevel="0" collapsed="false">
      <c r="A17" s="10" t="str">
        <f aca="false">IF(B17="","","T"&amp;TEXT(ROW()-4,"0000"))</f>
        <v/>
      </c>
      <c r="B17" s="23"/>
      <c r="C17" s="10"/>
      <c r="D17" s="10"/>
      <c r="E17" s="10"/>
      <c r="F17" s="25"/>
      <c r="G17" s="10"/>
      <c r="H17" s="25"/>
      <c r="I17" s="12" t="str">
        <f aca="false">IF(F17="","",F17+H17)</f>
        <v/>
      </c>
      <c r="J17" s="10"/>
      <c r="K17" s="10"/>
      <c r="L17" s="10" t="str">
        <f aca="false">IF(B17="","",TEXT(B17,"YYYY-MM"))</f>
        <v/>
      </c>
      <c r="M17" s="10" t="str">
        <f aca="false">IF($E17="","",IFERROR(VLOOKUP($E17,Categories!$A:$B,2,FALSE()),""))</f>
        <v/>
      </c>
    </row>
    <row r="18" customFormat="false" ht="15" hidden="false" customHeight="false" outlineLevel="0" collapsed="false">
      <c r="A18" s="10" t="str">
        <f aca="false">IF(B18="","","T"&amp;TEXT(ROW()-4,"0000"))</f>
        <v/>
      </c>
      <c r="B18" s="23"/>
      <c r="C18" s="10"/>
      <c r="D18" s="10"/>
      <c r="E18" s="10"/>
      <c r="F18" s="25"/>
      <c r="G18" s="10"/>
      <c r="H18" s="25"/>
      <c r="I18" s="12" t="str">
        <f aca="false">IF(F18="","",F18+H18)</f>
        <v/>
      </c>
      <c r="J18" s="10"/>
      <c r="K18" s="10"/>
      <c r="L18" s="10" t="str">
        <f aca="false">IF(B18="","",TEXT(B18,"YYYY-MM"))</f>
        <v/>
      </c>
      <c r="M18" s="10" t="str">
        <f aca="false">IF($E18="","",IFERROR(VLOOKUP($E18,Categories!$A:$B,2,FALSE()),""))</f>
        <v/>
      </c>
    </row>
    <row r="19" customFormat="false" ht="15" hidden="false" customHeight="false" outlineLevel="0" collapsed="false">
      <c r="A19" s="10" t="str">
        <f aca="false">IF(B19="","","T"&amp;TEXT(ROW()-4,"0000"))</f>
        <v/>
      </c>
      <c r="B19" s="23"/>
      <c r="C19" s="10"/>
      <c r="D19" s="10"/>
      <c r="E19" s="10"/>
      <c r="F19" s="25"/>
      <c r="G19" s="10"/>
      <c r="H19" s="25"/>
      <c r="I19" s="12" t="str">
        <f aca="false">IF(F19="","",F19+H19)</f>
        <v/>
      </c>
      <c r="J19" s="10"/>
      <c r="K19" s="10"/>
      <c r="L19" s="10" t="str">
        <f aca="false">IF(B19="","",TEXT(B19,"YYYY-MM"))</f>
        <v/>
      </c>
      <c r="M19" s="10" t="str">
        <f aca="false">IF($E19="","",IFERROR(VLOOKUP($E19,Categories!$A:$B,2,FALSE()),""))</f>
        <v/>
      </c>
    </row>
    <row r="20" customFormat="false" ht="15" hidden="false" customHeight="false" outlineLevel="0" collapsed="false">
      <c r="A20" s="10" t="str">
        <f aca="false">IF(B20="","","T"&amp;TEXT(ROW()-4,"0000"))</f>
        <v/>
      </c>
      <c r="B20" s="23"/>
      <c r="C20" s="10"/>
      <c r="D20" s="10"/>
      <c r="E20" s="10"/>
      <c r="F20" s="25"/>
      <c r="G20" s="10"/>
      <c r="H20" s="25"/>
      <c r="I20" s="12" t="str">
        <f aca="false">IF(F20="","",F20+H20)</f>
        <v/>
      </c>
      <c r="J20" s="10"/>
      <c r="K20" s="10"/>
      <c r="L20" s="10" t="str">
        <f aca="false">IF(B20="","",TEXT(B20,"YYYY-MM"))</f>
        <v/>
      </c>
      <c r="M20" s="10" t="str">
        <f aca="false">IF($E20="","",IFERROR(VLOOKUP($E20,Categories!$A:$B,2,FALSE()),""))</f>
        <v/>
      </c>
    </row>
    <row r="21" customFormat="false" ht="15" hidden="false" customHeight="false" outlineLevel="0" collapsed="false">
      <c r="A21" s="10" t="str">
        <f aca="false">IF(B21="","","T"&amp;TEXT(ROW()-4,"0000"))</f>
        <v/>
      </c>
      <c r="B21" s="23"/>
      <c r="C21" s="10"/>
      <c r="D21" s="10"/>
      <c r="E21" s="10"/>
      <c r="F21" s="25"/>
      <c r="G21" s="10"/>
      <c r="H21" s="25"/>
      <c r="I21" s="12" t="str">
        <f aca="false">IF(F21="","",F21+H21)</f>
        <v/>
      </c>
      <c r="J21" s="10"/>
      <c r="K21" s="10"/>
      <c r="L21" s="10" t="str">
        <f aca="false">IF(B21="","",TEXT(B21,"YYYY-MM"))</f>
        <v/>
      </c>
      <c r="M21" s="10" t="str">
        <f aca="false">IF($E21="","",IFERROR(VLOOKUP($E21,Categories!$A:$B,2,FALSE()),""))</f>
        <v/>
      </c>
    </row>
    <row r="22" customFormat="false" ht="15" hidden="false" customHeight="false" outlineLevel="0" collapsed="false">
      <c r="A22" s="10" t="str">
        <f aca="false">IF(B22="","","T"&amp;TEXT(ROW()-4,"0000"))</f>
        <v/>
      </c>
      <c r="B22" s="23"/>
      <c r="C22" s="10"/>
      <c r="D22" s="10"/>
      <c r="E22" s="10"/>
      <c r="F22" s="25"/>
      <c r="G22" s="10"/>
      <c r="H22" s="25"/>
      <c r="I22" s="12" t="str">
        <f aca="false">IF(F22="","",F22+H22)</f>
        <v/>
      </c>
      <c r="J22" s="10"/>
      <c r="K22" s="10"/>
      <c r="L22" s="10" t="str">
        <f aca="false">IF(B22="","",TEXT(B22,"YYYY-MM"))</f>
        <v/>
      </c>
      <c r="M22" s="10" t="str">
        <f aca="false">IF($E22="","",IFERROR(VLOOKUP($E22,Categories!$A:$B,2,FALSE()),""))</f>
        <v/>
      </c>
    </row>
    <row r="23" customFormat="false" ht="15" hidden="false" customHeight="false" outlineLevel="0" collapsed="false">
      <c r="A23" s="10" t="str">
        <f aca="false">IF(B23="","","T"&amp;TEXT(ROW()-4,"0000"))</f>
        <v/>
      </c>
      <c r="B23" s="23"/>
      <c r="C23" s="10"/>
      <c r="D23" s="10"/>
      <c r="E23" s="10"/>
      <c r="F23" s="25"/>
      <c r="G23" s="10"/>
      <c r="H23" s="25"/>
      <c r="I23" s="12" t="str">
        <f aca="false">IF(F23="","",F23+H23)</f>
        <v/>
      </c>
      <c r="J23" s="10"/>
      <c r="K23" s="10"/>
      <c r="L23" s="10" t="str">
        <f aca="false">IF(B23="","",TEXT(B23,"YYYY-MM"))</f>
        <v/>
      </c>
      <c r="M23" s="10" t="str">
        <f aca="false">IF($E23="","",IFERROR(VLOOKUP($E23,Categories!$A:$B,2,FALSE()),""))</f>
        <v/>
      </c>
    </row>
    <row r="24" customFormat="false" ht="15" hidden="false" customHeight="false" outlineLevel="0" collapsed="false">
      <c r="A24" s="10" t="str">
        <f aca="false">IF(B24="","","T"&amp;TEXT(ROW()-4,"0000"))</f>
        <v/>
      </c>
      <c r="B24" s="23"/>
      <c r="C24" s="10"/>
      <c r="D24" s="10"/>
      <c r="E24" s="10"/>
      <c r="F24" s="25"/>
      <c r="G24" s="10"/>
      <c r="H24" s="25"/>
      <c r="I24" s="12" t="str">
        <f aca="false">IF(F24="","",F24+H24)</f>
        <v/>
      </c>
      <c r="J24" s="10"/>
      <c r="K24" s="10"/>
      <c r="L24" s="10" t="str">
        <f aca="false">IF(B24="","",TEXT(B24,"YYYY-MM"))</f>
        <v/>
      </c>
      <c r="M24" s="10" t="str">
        <f aca="false">IF($E24="","",IFERROR(VLOOKUP($E24,Categories!$A:$B,2,FALSE()),""))</f>
        <v/>
      </c>
    </row>
    <row r="25" customFormat="false" ht="15" hidden="false" customHeight="false" outlineLevel="0" collapsed="false">
      <c r="A25" s="10" t="str">
        <f aca="false">IF(B25="","","T"&amp;TEXT(ROW()-4,"0000"))</f>
        <v/>
      </c>
      <c r="B25" s="23"/>
      <c r="C25" s="10"/>
      <c r="D25" s="10"/>
      <c r="E25" s="10"/>
      <c r="F25" s="25"/>
      <c r="G25" s="10"/>
      <c r="H25" s="25"/>
      <c r="I25" s="12" t="str">
        <f aca="false">IF(F25="","",F25+H25)</f>
        <v/>
      </c>
      <c r="J25" s="10"/>
      <c r="K25" s="10"/>
      <c r="L25" s="10" t="str">
        <f aca="false">IF(B25="","",TEXT(B25,"YYYY-MM"))</f>
        <v/>
      </c>
      <c r="M25" s="10" t="str">
        <f aca="false">IF($E25="","",IFERROR(VLOOKUP($E25,Categories!$A:$B,2,FALSE()),""))</f>
        <v/>
      </c>
    </row>
    <row r="26" customFormat="false" ht="15" hidden="false" customHeight="false" outlineLevel="0" collapsed="false">
      <c r="A26" s="10" t="str">
        <f aca="false">IF(B26="","","T"&amp;TEXT(ROW()-4,"0000"))</f>
        <v/>
      </c>
      <c r="B26" s="23"/>
      <c r="C26" s="10"/>
      <c r="D26" s="10"/>
      <c r="E26" s="10"/>
      <c r="F26" s="25"/>
      <c r="G26" s="10"/>
      <c r="H26" s="25"/>
      <c r="I26" s="12" t="str">
        <f aca="false">IF(F26="","",F26+H26)</f>
        <v/>
      </c>
      <c r="J26" s="10"/>
      <c r="K26" s="10"/>
      <c r="L26" s="10" t="str">
        <f aca="false">IF(B26="","",TEXT(B26,"YYYY-MM"))</f>
        <v/>
      </c>
      <c r="M26" s="10" t="str">
        <f aca="false">IF($E26="","",IFERROR(VLOOKUP($E26,Categories!$A:$B,2,FALSE()),""))</f>
        <v/>
      </c>
    </row>
    <row r="27" customFormat="false" ht="15" hidden="false" customHeight="false" outlineLevel="0" collapsed="false">
      <c r="A27" s="10" t="str">
        <f aca="false">IF(B27="","","T"&amp;TEXT(ROW()-4,"0000"))</f>
        <v/>
      </c>
      <c r="B27" s="23"/>
      <c r="C27" s="10"/>
      <c r="D27" s="10"/>
      <c r="E27" s="10"/>
      <c r="F27" s="25"/>
      <c r="G27" s="10"/>
      <c r="H27" s="25"/>
      <c r="I27" s="12" t="str">
        <f aca="false">IF(F27="","",F27+H27)</f>
        <v/>
      </c>
      <c r="J27" s="10"/>
      <c r="K27" s="10"/>
      <c r="L27" s="10" t="str">
        <f aca="false">IF(B27="","",TEXT(B27,"YYYY-MM"))</f>
        <v/>
      </c>
      <c r="M27" s="10" t="str">
        <f aca="false">IF($E27="","",IFERROR(VLOOKUP($E27,Categories!$A:$B,2,FALSE()),""))</f>
        <v/>
      </c>
    </row>
    <row r="28" customFormat="false" ht="15" hidden="false" customHeight="false" outlineLevel="0" collapsed="false">
      <c r="A28" s="10" t="str">
        <f aca="false">IF(B28="","","T"&amp;TEXT(ROW()-4,"0000"))</f>
        <v/>
      </c>
      <c r="B28" s="23"/>
      <c r="C28" s="10"/>
      <c r="D28" s="10"/>
      <c r="E28" s="10"/>
      <c r="F28" s="25"/>
      <c r="G28" s="10"/>
      <c r="H28" s="25"/>
      <c r="I28" s="12" t="str">
        <f aca="false">IF(F28="","",F28+H28)</f>
        <v/>
      </c>
      <c r="J28" s="10"/>
      <c r="K28" s="10"/>
      <c r="L28" s="10" t="str">
        <f aca="false">IF(B28="","",TEXT(B28,"YYYY-MM"))</f>
        <v/>
      </c>
      <c r="M28" s="10" t="str">
        <f aca="false">IF($E28="","",IFERROR(VLOOKUP($E28,Categories!$A:$B,2,FALSE()),""))</f>
        <v/>
      </c>
    </row>
    <row r="29" customFormat="false" ht="15" hidden="false" customHeight="false" outlineLevel="0" collapsed="false">
      <c r="A29" s="10" t="str">
        <f aca="false">IF(B29="","","T"&amp;TEXT(ROW()-4,"0000"))</f>
        <v/>
      </c>
      <c r="B29" s="23"/>
      <c r="C29" s="10"/>
      <c r="D29" s="10"/>
      <c r="E29" s="10"/>
      <c r="F29" s="25"/>
      <c r="G29" s="10"/>
      <c r="H29" s="25"/>
      <c r="I29" s="12" t="str">
        <f aca="false">IF(F29="","",F29+H29)</f>
        <v/>
      </c>
      <c r="J29" s="10"/>
      <c r="K29" s="10"/>
      <c r="L29" s="10" t="str">
        <f aca="false">IF(B29="","",TEXT(B29,"YYYY-MM"))</f>
        <v/>
      </c>
      <c r="M29" s="10" t="str">
        <f aca="false">IF($E29="","",IFERROR(VLOOKUP($E29,Categories!$A:$B,2,FALSE()),""))</f>
        <v/>
      </c>
    </row>
    <row r="30" customFormat="false" ht="15" hidden="false" customHeight="false" outlineLevel="0" collapsed="false">
      <c r="A30" s="10" t="str">
        <f aca="false">IF(B30="","","T"&amp;TEXT(ROW()-4,"0000"))</f>
        <v/>
      </c>
      <c r="B30" s="23"/>
      <c r="C30" s="10"/>
      <c r="D30" s="10"/>
      <c r="E30" s="10"/>
      <c r="F30" s="25"/>
      <c r="G30" s="10"/>
      <c r="H30" s="25"/>
      <c r="I30" s="12" t="str">
        <f aca="false">IF(F30="","",F30+H30)</f>
        <v/>
      </c>
      <c r="J30" s="10"/>
      <c r="K30" s="10"/>
      <c r="L30" s="10" t="str">
        <f aca="false">IF(B30="","",TEXT(B30,"YYYY-MM"))</f>
        <v/>
      </c>
      <c r="M30" s="10" t="str">
        <f aca="false">IF($E30="","",IFERROR(VLOOKUP($E30,Categories!$A:$B,2,FALSE()),""))</f>
        <v/>
      </c>
    </row>
    <row r="31" customFormat="false" ht="15" hidden="false" customHeight="false" outlineLevel="0" collapsed="false">
      <c r="A31" s="10" t="str">
        <f aca="false">IF(B31="","","T"&amp;TEXT(ROW()-4,"0000"))</f>
        <v/>
      </c>
      <c r="B31" s="23"/>
      <c r="C31" s="10"/>
      <c r="D31" s="10"/>
      <c r="E31" s="10"/>
      <c r="F31" s="25"/>
      <c r="G31" s="10"/>
      <c r="H31" s="25"/>
      <c r="I31" s="12" t="str">
        <f aca="false">IF(F31="","",F31+H31)</f>
        <v/>
      </c>
      <c r="J31" s="10"/>
      <c r="K31" s="10"/>
      <c r="L31" s="10" t="str">
        <f aca="false">IF(B31="","",TEXT(B31,"YYYY-MM"))</f>
        <v/>
      </c>
      <c r="M31" s="10" t="str">
        <f aca="false">IF($E31="","",IFERROR(VLOOKUP($E31,Categories!$A:$B,2,FALSE()),""))</f>
        <v/>
      </c>
    </row>
    <row r="32" customFormat="false" ht="15" hidden="false" customHeight="false" outlineLevel="0" collapsed="false">
      <c r="A32" s="10" t="str">
        <f aca="false">IF(B32="","","T"&amp;TEXT(ROW()-4,"0000"))</f>
        <v/>
      </c>
      <c r="B32" s="23"/>
      <c r="C32" s="10"/>
      <c r="D32" s="10"/>
      <c r="E32" s="10"/>
      <c r="F32" s="25"/>
      <c r="G32" s="10"/>
      <c r="H32" s="25"/>
      <c r="I32" s="12" t="str">
        <f aca="false">IF(F32="","",F32+H32)</f>
        <v/>
      </c>
      <c r="J32" s="10"/>
      <c r="K32" s="10"/>
      <c r="L32" s="10" t="str">
        <f aca="false">IF(B32="","",TEXT(B32,"YYYY-MM"))</f>
        <v/>
      </c>
      <c r="M32" s="10" t="str">
        <f aca="false">IF($E32="","",IFERROR(VLOOKUP($E32,Categories!$A:$B,2,FALSE()),""))</f>
        <v/>
      </c>
    </row>
    <row r="33" customFormat="false" ht="15" hidden="false" customHeight="false" outlineLevel="0" collapsed="false">
      <c r="A33" s="10" t="str">
        <f aca="false">IF(B33="","","T"&amp;TEXT(ROW()-4,"0000"))</f>
        <v/>
      </c>
      <c r="B33" s="23"/>
      <c r="C33" s="10"/>
      <c r="D33" s="10"/>
      <c r="E33" s="10"/>
      <c r="F33" s="25"/>
      <c r="G33" s="10"/>
      <c r="H33" s="25"/>
      <c r="I33" s="12" t="str">
        <f aca="false">IF(F33="","",F33+H33)</f>
        <v/>
      </c>
      <c r="J33" s="10"/>
      <c r="K33" s="10"/>
      <c r="L33" s="10" t="str">
        <f aca="false">IF(B33="","",TEXT(B33,"YYYY-MM"))</f>
        <v/>
      </c>
      <c r="M33" s="10" t="str">
        <f aca="false">IF($E33="","",IFERROR(VLOOKUP($E33,Categories!$A:$B,2,FALSE()),""))</f>
        <v/>
      </c>
    </row>
    <row r="34" customFormat="false" ht="15" hidden="false" customHeight="false" outlineLevel="0" collapsed="false">
      <c r="A34" s="10" t="str">
        <f aca="false">IF(B34="","","T"&amp;TEXT(ROW()-4,"0000"))</f>
        <v/>
      </c>
      <c r="B34" s="23"/>
      <c r="C34" s="10"/>
      <c r="D34" s="10"/>
      <c r="E34" s="10"/>
      <c r="F34" s="25"/>
      <c r="G34" s="10"/>
      <c r="H34" s="25"/>
      <c r="I34" s="12" t="str">
        <f aca="false">IF(F34="","",F34+H34)</f>
        <v/>
      </c>
      <c r="J34" s="10"/>
      <c r="K34" s="10"/>
      <c r="L34" s="10" t="str">
        <f aca="false">IF(B34="","",TEXT(B34,"YYYY-MM"))</f>
        <v/>
      </c>
      <c r="M34" s="10" t="str">
        <f aca="false">IF($E34="","",IFERROR(VLOOKUP($E34,Categories!$A:$B,2,FALSE()),""))</f>
        <v/>
      </c>
    </row>
    <row r="35" customFormat="false" ht="15" hidden="false" customHeight="false" outlineLevel="0" collapsed="false">
      <c r="A35" s="10" t="str">
        <f aca="false">IF(B35="","","T"&amp;TEXT(ROW()-4,"0000"))</f>
        <v/>
      </c>
      <c r="B35" s="23"/>
      <c r="C35" s="10"/>
      <c r="D35" s="10"/>
      <c r="E35" s="10"/>
      <c r="F35" s="25"/>
      <c r="G35" s="10"/>
      <c r="H35" s="25"/>
      <c r="I35" s="12" t="str">
        <f aca="false">IF(F35="","",F35+H35)</f>
        <v/>
      </c>
      <c r="J35" s="10"/>
      <c r="K35" s="10"/>
      <c r="L35" s="10" t="str">
        <f aca="false">IF(B35="","",TEXT(B35,"YYYY-MM"))</f>
        <v/>
      </c>
      <c r="M35" s="10" t="str">
        <f aca="false">IF($E35="","",IFERROR(VLOOKUP($E35,Categories!$A:$B,2,FALSE()),""))</f>
        <v/>
      </c>
    </row>
    <row r="36" customFormat="false" ht="15" hidden="false" customHeight="false" outlineLevel="0" collapsed="false">
      <c r="A36" s="10" t="str">
        <f aca="false">IF(B36="","","T"&amp;TEXT(ROW()-4,"0000"))</f>
        <v/>
      </c>
      <c r="B36" s="23"/>
      <c r="C36" s="10"/>
      <c r="D36" s="10"/>
      <c r="E36" s="10"/>
      <c r="F36" s="25"/>
      <c r="G36" s="10"/>
      <c r="H36" s="25"/>
      <c r="I36" s="12" t="str">
        <f aca="false">IF(F36="","",F36+H36)</f>
        <v/>
      </c>
      <c r="J36" s="10"/>
      <c r="K36" s="10"/>
      <c r="L36" s="10" t="str">
        <f aca="false">IF(B36="","",TEXT(B36,"YYYY-MM"))</f>
        <v/>
      </c>
      <c r="M36" s="10" t="str">
        <f aca="false">IF($E36="","",IFERROR(VLOOKUP($E36,Categories!$A:$B,2,FALSE()),""))</f>
        <v/>
      </c>
    </row>
    <row r="37" customFormat="false" ht="15" hidden="false" customHeight="false" outlineLevel="0" collapsed="false">
      <c r="A37" s="10" t="str">
        <f aca="false">IF(B37="","","T"&amp;TEXT(ROW()-4,"0000"))</f>
        <v/>
      </c>
      <c r="B37" s="23"/>
      <c r="C37" s="10"/>
      <c r="D37" s="10"/>
      <c r="E37" s="10"/>
      <c r="F37" s="25"/>
      <c r="G37" s="10"/>
      <c r="H37" s="25"/>
      <c r="I37" s="12" t="str">
        <f aca="false">IF(F37="","",F37+H37)</f>
        <v/>
      </c>
      <c r="J37" s="10"/>
      <c r="K37" s="10"/>
      <c r="L37" s="10" t="str">
        <f aca="false">IF(B37="","",TEXT(B37,"YYYY-MM"))</f>
        <v/>
      </c>
      <c r="M37" s="10" t="str">
        <f aca="false">IF($E37="","",IFERROR(VLOOKUP($E37,Categories!$A:$B,2,FALSE()),""))</f>
        <v/>
      </c>
    </row>
    <row r="38" customFormat="false" ht="15" hidden="false" customHeight="false" outlineLevel="0" collapsed="false">
      <c r="A38" s="10" t="str">
        <f aca="false">IF(B38="","","T"&amp;TEXT(ROW()-4,"0000"))</f>
        <v/>
      </c>
      <c r="B38" s="23"/>
      <c r="C38" s="10"/>
      <c r="D38" s="10"/>
      <c r="E38" s="10"/>
      <c r="F38" s="25"/>
      <c r="G38" s="10"/>
      <c r="H38" s="25"/>
      <c r="I38" s="12" t="str">
        <f aca="false">IF(F38="","",F38+H38)</f>
        <v/>
      </c>
      <c r="J38" s="10"/>
      <c r="K38" s="10"/>
      <c r="L38" s="10" t="str">
        <f aca="false">IF(B38="","",TEXT(B38,"YYYY-MM"))</f>
        <v/>
      </c>
      <c r="M38" s="10" t="str">
        <f aca="false">IF($E38="","",IFERROR(VLOOKUP($E38,Categories!$A:$B,2,FALSE()),""))</f>
        <v/>
      </c>
    </row>
    <row r="39" customFormat="false" ht="15" hidden="false" customHeight="false" outlineLevel="0" collapsed="false">
      <c r="A39" s="10" t="str">
        <f aca="false">IF(B39="","","T"&amp;TEXT(ROW()-4,"0000"))</f>
        <v/>
      </c>
      <c r="B39" s="23"/>
      <c r="C39" s="10"/>
      <c r="D39" s="10"/>
      <c r="E39" s="10"/>
      <c r="F39" s="25"/>
      <c r="G39" s="10"/>
      <c r="H39" s="25"/>
      <c r="I39" s="12" t="str">
        <f aca="false">IF(F39="","",F39+H39)</f>
        <v/>
      </c>
      <c r="J39" s="10"/>
      <c r="K39" s="10"/>
      <c r="L39" s="10" t="str">
        <f aca="false">IF(B39="","",TEXT(B39,"YYYY-MM"))</f>
        <v/>
      </c>
      <c r="M39" s="10" t="str">
        <f aca="false">IF($E39="","",IFERROR(VLOOKUP($E39,Categories!$A:$B,2,FALSE()),""))</f>
        <v/>
      </c>
    </row>
    <row r="40" customFormat="false" ht="15" hidden="false" customHeight="false" outlineLevel="0" collapsed="false">
      <c r="A40" s="10" t="str">
        <f aca="false">IF(B40="","","T"&amp;TEXT(ROW()-4,"0000"))</f>
        <v/>
      </c>
      <c r="B40" s="23"/>
      <c r="C40" s="10"/>
      <c r="D40" s="10"/>
      <c r="E40" s="10"/>
      <c r="F40" s="25"/>
      <c r="G40" s="10"/>
      <c r="H40" s="25"/>
      <c r="I40" s="12" t="str">
        <f aca="false">IF(F40="","",F40+H40)</f>
        <v/>
      </c>
      <c r="J40" s="10"/>
      <c r="K40" s="10"/>
      <c r="L40" s="10" t="str">
        <f aca="false">IF(B40="","",TEXT(B40,"YYYY-MM"))</f>
        <v/>
      </c>
      <c r="M40" s="10" t="str">
        <f aca="false">IF($E40="","",IFERROR(VLOOKUP($E40,Categories!$A:$B,2,FALSE()),""))</f>
        <v/>
      </c>
    </row>
    <row r="41" customFormat="false" ht="15" hidden="false" customHeight="false" outlineLevel="0" collapsed="false">
      <c r="A41" s="10" t="str">
        <f aca="false">IF(B41="","","T"&amp;TEXT(ROW()-4,"0000"))</f>
        <v/>
      </c>
      <c r="B41" s="23"/>
      <c r="C41" s="10"/>
      <c r="D41" s="10"/>
      <c r="E41" s="10"/>
      <c r="F41" s="25"/>
      <c r="G41" s="10"/>
      <c r="H41" s="25"/>
      <c r="I41" s="12" t="str">
        <f aca="false">IF(F41="","",F41+H41)</f>
        <v/>
      </c>
      <c r="J41" s="10"/>
      <c r="K41" s="10"/>
      <c r="L41" s="10" t="str">
        <f aca="false">IF(B41="","",TEXT(B41,"YYYY-MM"))</f>
        <v/>
      </c>
      <c r="M41" s="10" t="str">
        <f aca="false">IF($E41="","",IFERROR(VLOOKUP($E41,Categories!$A:$B,2,FALSE()),""))</f>
        <v/>
      </c>
    </row>
    <row r="42" customFormat="false" ht="15" hidden="false" customHeight="false" outlineLevel="0" collapsed="false">
      <c r="A42" s="10" t="str">
        <f aca="false">IF(B42="","","T"&amp;TEXT(ROW()-4,"0000"))</f>
        <v/>
      </c>
      <c r="B42" s="23"/>
      <c r="C42" s="10"/>
      <c r="D42" s="10"/>
      <c r="E42" s="10"/>
      <c r="F42" s="25"/>
      <c r="G42" s="10"/>
      <c r="H42" s="25"/>
      <c r="I42" s="12" t="str">
        <f aca="false">IF(F42="","",F42+H42)</f>
        <v/>
      </c>
      <c r="J42" s="10"/>
      <c r="K42" s="10"/>
      <c r="L42" s="10" t="str">
        <f aca="false">IF(B42="","",TEXT(B42,"YYYY-MM"))</f>
        <v/>
      </c>
      <c r="M42" s="10" t="str">
        <f aca="false">IF($E42="","",IFERROR(VLOOKUP($E42,Categories!$A:$B,2,FALSE()),""))</f>
        <v/>
      </c>
    </row>
    <row r="43" customFormat="false" ht="15" hidden="false" customHeight="false" outlineLevel="0" collapsed="false">
      <c r="A43" s="10" t="str">
        <f aca="false">IF(B43="","","T"&amp;TEXT(ROW()-4,"0000"))</f>
        <v/>
      </c>
      <c r="B43" s="23"/>
      <c r="C43" s="10"/>
      <c r="D43" s="10"/>
      <c r="E43" s="10"/>
      <c r="F43" s="25"/>
      <c r="G43" s="10"/>
      <c r="H43" s="25"/>
      <c r="I43" s="12" t="str">
        <f aca="false">IF(F43="","",F43+H43)</f>
        <v/>
      </c>
      <c r="J43" s="10"/>
      <c r="K43" s="10"/>
      <c r="L43" s="10" t="str">
        <f aca="false">IF(B43="","",TEXT(B43,"YYYY-MM"))</f>
        <v/>
      </c>
      <c r="M43" s="10" t="str">
        <f aca="false">IF($E43="","",IFERROR(VLOOKUP($E43,Categories!$A:$B,2,FALSE()),""))</f>
        <v/>
      </c>
    </row>
    <row r="44" customFormat="false" ht="15" hidden="false" customHeight="false" outlineLevel="0" collapsed="false">
      <c r="A44" s="10" t="str">
        <f aca="false">IF(B44="","","T"&amp;TEXT(ROW()-4,"0000"))</f>
        <v/>
      </c>
      <c r="B44" s="23"/>
      <c r="C44" s="10"/>
      <c r="D44" s="10"/>
      <c r="E44" s="10"/>
      <c r="F44" s="25"/>
      <c r="G44" s="10"/>
      <c r="H44" s="25"/>
      <c r="I44" s="12" t="str">
        <f aca="false">IF(F44="","",F44+H44)</f>
        <v/>
      </c>
      <c r="J44" s="10"/>
      <c r="K44" s="10"/>
      <c r="L44" s="10" t="str">
        <f aca="false">IF(B44="","",TEXT(B44,"YYYY-MM"))</f>
        <v/>
      </c>
      <c r="M44" s="10" t="str">
        <f aca="false">IF($E44="","",IFERROR(VLOOKUP($E44,Categories!$A:$B,2,FALSE()),""))</f>
        <v/>
      </c>
    </row>
    <row r="45" customFormat="false" ht="15" hidden="false" customHeight="false" outlineLevel="0" collapsed="false">
      <c r="A45" s="10" t="str">
        <f aca="false">IF(B45="","","T"&amp;TEXT(ROW()-4,"0000"))</f>
        <v/>
      </c>
      <c r="B45" s="23"/>
      <c r="C45" s="10"/>
      <c r="D45" s="10"/>
      <c r="E45" s="10"/>
      <c r="F45" s="25"/>
      <c r="G45" s="10"/>
      <c r="H45" s="25"/>
      <c r="I45" s="12" t="str">
        <f aca="false">IF(F45="","",F45+H45)</f>
        <v/>
      </c>
      <c r="J45" s="10"/>
      <c r="K45" s="10"/>
      <c r="L45" s="10" t="str">
        <f aca="false">IF(B45="","",TEXT(B45,"YYYY-MM"))</f>
        <v/>
      </c>
      <c r="M45" s="10" t="str">
        <f aca="false">IF($E45="","",IFERROR(VLOOKUP($E45,Categories!$A:$B,2,FALSE()),""))</f>
        <v/>
      </c>
    </row>
    <row r="46" customFormat="false" ht="15" hidden="false" customHeight="false" outlineLevel="0" collapsed="false">
      <c r="A46" s="10" t="str">
        <f aca="false">IF(B46="","","T"&amp;TEXT(ROW()-4,"0000"))</f>
        <v/>
      </c>
      <c r="B46" s="23"/>
      <c r="C46" s="10"/>
      <c r="D46" s="10"/>
      <c r="E46" s="10"/>
      <c r="F46" s="25"/>
      <c r="G46" s="10"/>
      <c r="H46" s="25"/>
      <c r="I46" s="12" t="str">
        <f aca="false">IF(F46="","",F46+H46)</f>
        <v/>
      </c>
      <c r="J46" s="10"/>
      <c r="K46" s="10"/>
      <c r="L46" s="10" t="str">
        <f aca="false">IF(B46="","",TEXT(B46,"YYYY-MM"))</f>
        <v/>
      </c>
      <c r="M46" s="10" t="str">
        <f aca="false">IF($E46="","",IFERROR(VLOOKUP($E46,Categories!$A:$B,2,FALSE()),""))</f>
        <v/>
      </c>
    </row>
    <row r="47" customFormat="false" ht="15" hidden="false" customHeight="false" outlineLevel="0" collapsed="false">
      <c r="A47" s="10" t="str">
        <f aca="false">IF(B47="","","T"&amp;TEXT(ROW()-4,"0000"))</f>
        <v/>
      </c>
      <c r="B47" s="23"/>
      <c r="C47" s="10"/>
      <c r="D47" s="10"/>
      <c r="E47" s="10"/>
      <c r="F47" s="25"/>
      <c r="G47" s="10"/>
      <c r="H47" s="25"/>
      <c r="I47" s="12" t="str">
        <f aca="false">IF(F47="","",F47+H47)</f>
        <v/>
      </c>
      <c r="J47" s="10"/>
      <c r="K47" s="10"/>
      <c r="L47" s="10" t="str">
        <f aca="false">IF(B47="","",TEXT(B47,"YYYY-MM"))</f>
        <v/>
      </c>
      <c r="M47" s="10" t="str">
        <f aca="false">IF($E47="","",IFERROR(VLOOKUP($E47,Categories!$A:$B,2,FALSE()),""))</f>
        <v/>
      </c>
    </row>
    <row r="48" customFormat="false" ht="15" hidden="false" customHeight="false" outlineLevel="0" collapsed="false">
      <c r="A48" s="10" t="str">
        <f aca="false">IF(B48="","","T"&amp;TEXT(ROW()-4,"0000"))</f>
        <v/>
      </c>
      <c r="B48" s="23"/>
      <c r="C48" s="10"/>
      <c r="D48" s="10"/>
      <c r="E48" s="10"/>
      <c r="F48" s="25"/>
      <c r="G48" s="10"/>
      <c r="H48" s="25"/>
      <c r="I48" s="12" t="str">
        <f aca="false">IF(F48="","",F48+H48)</f>
        <v/>
      </c>
      <c r="J48" s="10"/>
      <c r="K48" s="10"/>
      <c r="L48" s="10" t="str">
        <f aca="false">IF(B48="","",TEXT(B48,"YYYY-MM"))</f>
        <v/>
      </c>
      <c r="M48" s="10" t="str">
        <f aca="false">IF($E48="","",IFERROR(VLOOKUP($E48,Categories!$A:$B,2,FALSE()),""))</f>
        <v/>
      </c>
    </row>
    <row r="49" customFormat="false" ht="15" hidden="false" customHeight="false" outlineLevel="0" collapsed="false">
      <c r="A49" s="10" t="str">
        <f aca="false">IF(B49="","","T"&amp;TEXT(ROW()-4,"0000"))</f>
        <v/>
      </c>
      <c r="B49" s="23"/>
      <c r="C49" s="10"/>
      <c r="D49" s="10"/>
      <c r="E49" s="10"/>
      <c r="F49" s="25"/>
      <c r="G49" s="10"/>
      <c r="H49" s="25"/>
      <c r="I49" s="12" t="str">
        <f aca="false">IF(F49="","",F49+H49)</f>
        <v/>
      </c>
      <c r="J49" s="10"/>
      <c r="K49" s="10"/>
      <c r="L49" s="10" t="str">
        <f aca="false">IF(B49="","",TEXT(B49,"YYYY-MM"))</f>
        <v/>
      </c>
      <c r="M49" s="10" t="str">
        <f aca="false">IF($E49="","",IFERROR(VLOOKUP($E49,Categories!$A:$B,2,FALSE()),""))</f>
        <v/>
      </c>
    </row>
    <row r="50" customFormat="false" ht="15" hidden="false" customHeight="false" outlineLevel="0" collapsed="false">
      <c r="A50" s="10" t="str">
        <f aca="false">IF(B50="","","T"&amp;TEXT(ROW()-4,"0000"))</f>
        <v/>
      </c>
      <c r="B50" s="23"/>
      <c r="C50" s="10"/>
      <c r="D50" s="10"/>
      <c r="E50" s="10"/>
      <c r="F50" s="25"/>
      <c r="G50" s="10"/>
      <c r="H50" s="25"/>
      <c r="I50" s="12" t="str">
        <f aca="false">IF(F50="","",F50+H50)</f>
        <v/>
      </c>
      <c r="J50" s="10"/>
      <c r="K50" s="10"/>
      <c r="L50" s="10" t="str">
        <f aca="false">IF(B50="","",TEXT(B50,"YYYY-MM"))</f>
        <v/>
      </c>
      <c r="M50" s="10" t="str">
        <f aca="false">IF($E50="","",IFERROR(VLOOKUP($E50,Categories!$A:$B,2,FALSE()),""))</f>
        <v/>
      </c>
    </row>
    <row r="51" customFormat="false" ht="15" hidden="false" customHeight="false" outlineLevel="0" collapsed="false">
      <c r="A51" s="10" t="str">
        <f aca="false">IF(B51="","","T"&amp;TEXT(ROW()-4,"0000"))</f>
        <v/>
      </c>
      <c r="B51" s="23"/>
      <c r="C51" s="10"/>
      <c r="D51" s="10"/>
      <c r="E51" s="10"/>
      <c r="F51" s="25"/>
      <c r="G51" s="10"/>
      <c r="H51" s="25"/>
      <c r="I51" s="12" t="str">
        <f aca="false">IF(F51="","",F51+H51)</f>
        <v/>
      </c>
      <c r="J51" s="10"/>
      <c r="K51" s="10"/>
      <c r="L51" s="10" t="str">
        <f aca="false">IF(B51="","",TEXT(B51,"YYYY-MM"))</f>
        <v/>
      </c>
      <c r="M51" s="10" t="str">
        <f aca="false">IF($E51="","",IFERROR(VLOOKUP($E51,Categories!$A:$B,2,FALSE()),""))</f>
        <v/>
      </c>
    </row>
    <row r="52" customFormat="false" ht="15" hidden="false" customHeight="false" outlineLevel="0" collapsed="false">
      <c r="A52" s="10" t="str">
        <f aca="false">IF(B52="","","T"&amp;TEXT(ROW()-4,"0000"))</f>
        <v/>
      </c>
      <c r="B52" s="23"/>
      <c r="C52" s="10"/>
      <c r="D52" s="10"/>
      <c r="E52" s="10"/>
      <c r="F52" s="25"/>
      <c r="G52" s="10"/>
      <c r="H52" s="25"/>
      <c r="I52" s="12" t="str">
        <f aca="false">IF(F52="","",F52+H52)</f>
        <v/>
      </c>
      <c r="J52" s="10"/>
      <c r="K52" s="10"/>
      <c r="L52" s="10" t="str">
        <f aca="false">IF(B52="","",TEXT(B52,"YYYY-MM"))</f>
        <v/>
      </c>
      <c r="M52" s="10" t="str">
        <f aca="false">IF($E52="","",IFERROR(VLOOKUP($E52,Categories!$A:$B,2,FALSE()),""))</f>
        <v/>
      </c>
    </row>
    <row r="53" customFormat="false" ht="15" hidden="false" customHeight="false" outlineLevel="0" collapsed="false">
      <c r="A53" s="10" t="str">
        <f aca="false">IF(B53="","","T"&amp;TEXT(ROW()-4,"0000"))</f>
        <v/>
      </c>
      <c r="B53" s="23"/>
      <c r="C53" s="10"/>
      <c r="D53" s="10"/>
      <c r="E53" s="10"/>
      <c r="F53" s="25"/>
      <c r="G53" s="10"/>
      <c r="H53" s="25"/>
      <c r="I53" s="12" t="str">
        <f aca="false">IF(F53="","",F53+H53)</f>
        <v/>
      </c>
      <c r="J53" s="10"/>
      <c r="K53" s="10"/>
      <c r="L53" s="10" t="str">
        <f aca="false">IF(B53="","",TEXT(B53,"YYYY-MM"))</f>
        <v/>
      </c>
      <c r="M53" s="10" t="str">
        <f aca="false">IF($E53="","",IFERROR(VLOOKUP($E53,Categories!$A:$B,2,FALSE()),""))</f>
        <v/>
      </c>
    </row>
    <row r="54" customFormat="false" ht="15" hidden="false" customHeight="false" outlineLevel="0" collapsed="false">
      <c r="A54" s="10" t="str">
        <f aca="false">IF(B54="","","T"&amp;TEXT(ROW()-4,"0000"))</f>
        <v/>
      </c>
      <c r="B54" s="23"/>
      <c r="C54" s="10"/>
      <c r="D54" s="10"/>
      <c r="E54" s="10"/>
      <c r="F54" s="25"/>
      <c r="G54" s="10"/>
      <c r="H54" s="25"/>
      <c r="I54" s="12" t="str">
        <f aca="false">IF(F54="","",F54+H54)</f>
        <v/>
      </c>
      <c r="J54" s="10"/>
      <c r="K54" s="10"/>
      <c r="L54" s="10" t="str">
        <f aca="false">IF(B54="","",TEXT(B54,"YYYY-MM"))</f>
        <v/>
      </c>
      <c r="M54" s="10" t="str">
        <f aca="false">IF($E54="","",IFERROR(VLOOKUP($E54,Categories!$A:$B,2,FALSE()),""))</f>
        <v/>
      </c>
    </row>
    <row r="55" customFormat="false" ht="15" hidden="false" customHeight="false" outlineLevel="0" collapsed="false">
      <c r="A55" s="10" t="str">
        <f aca="false">IF(B55="","","T"&amp;TEXT(ROW()-4,"0000"))</f>
        <v/>
      </c>
      <c r="B55" s="23"/>
      <c r="C55" s="10"/>
      <c r="D55" s="10"/>
      <c r="E55" s="10"/>
      <c r="F55" s="25"/>
      <c r="G55" s="10"/>
      <c r="H55" s="25"/>
      <c r="I55" s="12" t="str">
        <f aca="false">IF(F55="","",F55+H55)</f>
        <v/>
      </c>
      <c r="J55" s="10"/>
      <c r="K55" s="10"/>
      <c r="L55" s="10" t="str">
        <f aca="false">IF(B55="","",TEXT(B55,"YYYY-MM"))</f>
        <v/>
      </c>
      <c r="M55" s="10" t="str">
        <f aca="false">IF($E55="","",IFERROR(VLOOKUP($E55,Categories!$A:$B,2,FALSE()),""))</f>
        <v/>
      </c>
    </row>
    <row r="56" customFormat="false" ht="15" hidden="false" customHeight="false" outlineLevel="0" collapsed="false">
      <c r="A56" s="10" t="str">
        <f aca="false">IF(B56="","","T"&amp;TEXT(ROW()-4,"0000"))</f>
        <v/>
      </c>
      <c r="B56" s="23"/>
      <c r="C56" s="10"/>
      <c r="D56" s="10"/>
      <c r="E56" s="10"/>
      <c r="F56" s="25"/>
      <c r="G56" s="10"/>
      <c r="H56" s="25"/>
      <c r="I56" s="12" t="str">
        <f aca="false">IF(F56="","",F56+H56)</f>
        <v/>
      </c>
      <c r="J56" s="10"/>
      <c r="K56" s="10"/>
      <c r="L56" s="10" t="str">
        <f aca="false">IF(B56="","",TEXT(B56,"YYYY-MM"))</f>
        <v/>
      </c>
      <c r="M56" s="10" t="str">
        <f aca="false">IF($E56="","",IFERROR(VLOOKUP($E56,Categories!$A:$B,2,FALSE()),""))</f>
        <v/>
      </c>
    </row>
    <row r="57" customFormat="false" ht="15" hidden="false" customHeight="false" outlineLevel="0" collapsed="false">
      <c r="A57" s="10" t="str">
        <f aca="false">IF(B57="","","T"&amp;TEXT(ROW()-4,"0000"))</f>
        <v/>
      </c>
      <c r="B57" s="23"/>
      <c r="C57" s="10"/>
      <c r="D57" s="10"/>
      <c r="E57" s="10"/>
      <c r="F57" s="25"/>
      <c r="G57" s="10"/>
      <c r="H57" s="25"/>
      <c r="I57" s="12" t="str">
        <f aca="false">IF(F57="","",F57+H57)</f>
        <v/>
      </c>
      <c r="J57" s="10"/>
      <c r="K57" s="10"/>
      <c r="L57" s="10" t="str">
        <f aca="false">IF(B57="","",TEXT(B57,"YYYY-MM"))</f>
        <v/>
      </c>
      <c r="M57" s="10" t="str">
        <f aca="false">IF($E57="","",IFERROR(VLOOKUP($E57,Categories!$A:$B,2,FALSE()),""))</f>
        <v/>
      </c>
    </row>
    <row r="58" customFormat="false" ht="15" hidden="false" customHeight="false" outlineLevel="0" collapsed="false">
      <c r="A58" s="10" t="str">
        <f aca="false">IF(B58="","","T"&amp;TEXT(ROW()-4,"0000"))</f>
        <v/>
      </c>
      <c r="B58" s="23"/>
      <c r="C58" s="10"/>
      <c r="D58" s="10"/>
      <c r="E58" s="10"/>
      <c r="F58" s="25"/>
      <c r="G58" s="10"/>
      <c r="H58" s="25"/>
      <c r="I58" s="12" t="str">
        <f aca="false">IF(F58="","",F58+H58)</f>
        <v/>
      </c>
      <c r="J58" s="10"/>
      <c r="K58" s="10"/>
      <c r="L58" s="10" t="str">
        <f aca="false">IF(B58="","",TEXT(B58,"YYYY-MM"))</f>
        <v/>
      </c>
      <c r="M58" s="10" t="str">
        <f aca="false">IF($E58="","",IFERROR(VLOOKUP($E58,Categories!$A:$B,2,FALSE()),""))</f>
        <v/>
      </c>
    </row>
    <row r="59" customFormat="false" ht="15" hidden="false" customHeight="false" outlineLevel="0" collapsed="false">
      <c r="A59" s="10" t="str">
        <f aca="false">IF(B59="","","T"&amp;TEXT(ROW()-4,"0000"))</f>
        <v/>
      </c>
      <c r="B59" s="23"/>
      <c r="C59" s="10"/>
      <c r="D59" s="10"/>
      <c r="E59" s="10"/>
      <c r="F59" s="25"/>
      <c r="G59" s="10"/>
      <c r="H59" s="25"/>
      <c r="I59" s="12" t="str">
        <f aca="false">IF(F59="","",F59+H59)</f>
        <v/>
      </c>
      <c r="J59" s="10"/>
      <c r="K59" s="10"/>
      <c r="L59" s="10" t="str">
        <f aca="false">IF(B59="","",TEXT(B59,"YYYY-MM"))</f>
        <v/>
      </c>
      <c r="M59" s="10" t="str">
        <f aca="false">IF($E59="","",IFERROR(VLOOKUP($E59,Categories!$A:$B,2,FALSE()),""))</f>
        <v/>
      </c>
    </row>
    <row r="60" customFormat="false" ht="15" hidden="false" customHeight="false" outlineLevel="0" collapsed="false">
      <c r="A60" s="10" t="str">
        <f aca="false">IF(B60="","","T"&amp;TEXT(ROW()-4,"0000"))</f>
        <v/>
      </c>
      <c r="B60" s="23"/>
      <c r="C60" s="10"/>
      <c r="D60" s="10"/>
      <c r="E60" s="10"/>
      <c r="F60" s="25"/>
      <c r="G60" s="10"/>
      <c r="H60" s="25"/>
      <c r="I60" s="12" t="str">
        <f aca="false">IF(F60="","",F60+H60)</f>
        <v/>
      </c>
      <c r="J60" s="10"/>
      <c r="K60" s="10"/>
      <c r="L60" s="10" t="str">
        <f aca="false">IF(B60="","",TEXT(B60,"YYYY-MM"))</f>
        <v/>
      </c>
      <c r="M60" s="10" t="str">
        <f aca="false">IF($E60="","",IFERROR(VLOOKUP($E60,Categories!$A:$B,2,FALSE()),""))</f>
        <v/>
      </c>
    </row>
    <row r="61" customFormat="false" ht="15" hidden="false" customHeight="false" outlineLevel="0" collapsed="false">
      <c r="A61" s="10" t="str">
        <f aca="false">IF(B61="","","T"&amp;TEXT(ROW()-4,"0000"))</f>
        <v/>
      </c>
      <c r="B61" s="23"/>
      <c r="C61" s="10"/>
      <c r="D61" s="10"/>
      <c r="E61" s="10"/>
      <c r="F61" s="25"/>
      <c r="G61" s="10"/>
      <c r="H61" s="25"/>
      <c r="I61" s="12" t="str">
        <f aca="false">IF(F61="","",F61+H61)</f>
        <v/>
      </c>
      <c r="J61" s="10"/>
      <c r="K61" s="10"/>
      <c r="L61" s="10" t="str">
        <f aca="false">IF(B61="","",TEXT(B61,"YYYY-MM"))</f>
        <v/>
      </c>
      <c r="M61" s="10" t="str">
        <f aca="false">IF($E61="","",IFERROR(VLOOKUP($E61,Categories!$A:$B,2,FALSE()),""))</f>
        <v/>
      </c>
    </row>
    <row r="62" customFormat="false" ht="15" hidden="false" customHeight="false" outlineLevel="0" collapsed="false">
      <c r="A62" s="10" t="str">
        <f aca="false">IF(B62="","","T"&amp;TEXT(ROW()-4,"0000"))</f>
        <v/>
      </c>
      <c r="B62" s="23"/>
      <c r="C62" s="10"/>
      <c r="D62" s="10"/>
      <c r="E62" s="10"/>
      <c r="F62" s="25"/>
      <c r="G62" s="10"/>
      <c r="H62" s="25"/>
      <c r="I62" s="12" t="str">
        <f aca="false">IF(F62="","",F62+H62)</f>
        <v/>
      </c>
      <c r="J62" s="10"/>
      <c r="K62" s="10"/>
      <c r="L62" s="10" t="str">
        <f aca="false">IF(B62="","",TEXT(B62,"YYYY-MM"))</f>
        <v/>
      </c>
      <c r="M62" s="10" t="str">
        <f aca="false">IF($E62="","",IFERROR(VLOOKUP($E62,Categories!$A:$B,2,FALSE()),""))</f>
        <v/>
      </c>
    </row>
    <row r="63" customFormat="false" ht="15" hidden="false" customHeight="false" outlineLevel="0" collapsed="false">
      <c r="A63" s="10" t="str">
        <f aca="false">IF(B63="","","T"&amp;TEXT(ROW()-4,"0000"))</f>
        <v/>
      </c>
      <c r="B63" s="23"/>
      <c r="C63" s="10"/>
      <c r="D63" s="10"/>
      <c r="E63" s="10"/>
      <c r="F63" s="25"/>
      <c r="G63" s="10"/>
      <c r="H63" s="25"/>
      <c r="I63" s="12" t="str">
        <f aca="false">IF(F63="","",F63+H63)</f>
        <v/>
      </c>
      <c r="J63" s="10"/>
      <c r="K63" s="10"/>
      <c r="L63" s="10" t="str">
        <f aca="false">IF(B63="","",TEXT(B63,"YYYY-MM"))</f>
        <v/>
      </c>
      <c r="M63" s="10" t="str">
        <f aca="false">IF($E63="","",IFERROR(VLOOKUP($E63,Categories!$A:$B,2,FALSE()),""))</f>
        <v/>
      </c>
    </row>
    <row r="64" customFormat="false" ht="15" hidden="false" customHeight="false" outlineLevel="0" collapsed="false">
      <c r="A64" s="10" t="str">
        <f aca="false">IF(B64="","","T"&amp;TEXT(ROW()-4,"0000"))</f>
        <v/>
      </c>
      <c r="B64" s="23"/>
      <c r="C64" s="10"/>
      <c r="D64" s="10"/>
      <c r="E64" s="10"/>
      <c r="F64" s="25"/>
      <c r="G64" s="10"/>
      <c r="H64" s="25"/>
      <c r="I64" s="12" t="str">
        <f aca="false">IF(F64="","",F64+H64)</f>
        <v/>
      </c>
      <c r="J64" s="10"/>
      <c r="K64" s="10"/>
      <c r="L64" s="10" t="str">
        <f aca="false">IF(B64="","",TEXT(B64,"YYYY-MM"))</f>
        <v/>
      </c>
      <c r="M64" s="10" t="str">
        <f aca="false">IF($E64="","",IFERROR(VLOOKUP($E64,Categories!$A:$B,2,FALSE()),""))</f>
        <v/>
      </c>
    </row>
    <row r="65" customFormat="false" ht="15" hidden="false" customHeight="false" outlineLevel="0" collapsed="false">
      <c r="A65" s="10" t="str">
        <f aca="false">IF(B65="","","T"&amp;TEXT(ROW()-4,"0000"))</f>
        <v/>
      </c>
      <c r="B65" s="23"/>
      <c r="C65" s="10"/>
      <c r="D65" s="10"/>
      <c r="E65" s="10"/>
      <c r="F65" s="25"/>
      <c r="G65" s="10"/>
      <c r="H65" s="25"/>
      <c r="I65" s="12" t="str">
        <f aca="false">IF(F65="","",F65+H65)</f>
        <v/>
      </c>
      <c r="J65" s="10"/>
      <c r="K65" s="10"/>
      <c r="L65" s="10" t="str">
        <f aca="false">IF(B65="","",TEXT(B65,"YYYY-MM"))</f>
        <v/>
      </c>
      <c r="M65" s="10" t="str">
        <f aca="false">IF($E65="","",IFERROR(VLOOKUP($E65,Categories!$A:$B,2,FALSE()),""))</f>
        <v/>
      </c>
    </row>
    <row r="66" customFormat="false" ht="15" hidden="false" customHeight="false" outlineLevel="0" collapsed="false">
      <c r="A66" s="10" t="str">
        <f aca="false">IF(B66="","","T"&amp;TEXT(ROW()-4,"0000"))</f>
        <v/>
      </c>
      <c r="B66" s="23"/>
      <c r="C66" s="10"/>
      <c r="D66" s="10"/>
      <c r="E66" s="10"/>
      <c r="F66" s="25"/>
      <c r="G66" s="10"/>
      <c r="H66" s="25"/>
      <c r="I66" s="12" t="str">
        <f aca="false">IF(F66="","",F66+H66)</f>
        <v/>
      </c>
      <c r="J66" s="10"/>
      <c r="K66" s="10"/>
      <c r="L66" s="10" t="str">
        <f aca="false">IF(B66="","",TEXT(B66,"YYYY-MM"))</f>
        <v/>
      </c>
      <c r="M66" s="10" t="str">
        <f aca="false">IF($E66="","",IFERROR(VLOOKUP($E66,Categories!$A:$B,2,FALSE()),""))</f>
        <v/>
      </c>
    </row>
    <row r="67" customFormat="false" ht="15" hidden="false" customHeight="false" outlineLevel="0" collapsed="false">
      <c r="A67" s="10" t="str">
        <f aca="false">IF(B67="","","T"&amp;TEXT(ROW()-4,"0000"))</f>
        <v/>
      </c>
      <c r="B67" s="23"/>
      <c r="C67" s="10"/>
      <c r="D67" s="10"/>
      <c r="E67" s="10"/>
      <c r="F67" s="25"/>
      <c r="G67" s="10"/>
      <c r="H67" s="25"/>
      <c r="I67" s="12" t="str">
        <f aca="false">IF(F67="","",F67+H67)</f>
        <v/>
      </c>
      <c r="J67" s="10"/>
      <c r="K67" s="10"/>
      <c r="L67" s="10" t="str">
        <f aca="false">IF(B67="","",TEXT(B67,"YYYY-MM"))</f>
        <v/>
      </c>
      <c r="M67" s="10" t="str">
        <f aca="false">IF($E67="","",IFERROR(VLOOKUP($E67,Categories!$A:$B,2,FALSE()),""))</f>
        <v/>
      </c>
    </row>
    <row r="68" customFormat="false" ht="15" hidden="false" customHeight="false" outlineLevel="0" collapsed="false">
      <c r="A68" s="10" t="str">
        <f aca="false">IF(B68="","","T"&amp;TEXT(ROW()-4,"0000"))</f>
        <v/>
      </c>
      <c r="B68" s="23"/>
      <c r="C68" s="10"/>
      <c r="D68" s="10"/>
      <c r="E68" s="10"/>
      <c r="F68" s="25"/>
      <c r="G68" s="10"/>
      <c r="H68" s="25"/>
      <c r="I68" s="12" t="str">
        <f aca="false">IF(F68="","",F68+H68)</f>
        <v/>
      </c>
      <c r="J68" s="10"/>
      <c r="K68" s="10"/>
      <c r="L68" s="10" t="str">
        <f aca="false">IF(B68="","",TEXT(B68,"YYYY-MM"))</f>
        <v/>
      </c>
      <c r="M68" s="10" t="str">
        <f aca="false">IF($E68="","",IFERROR(VLOOKUP($E68,Categories!$A:$B,2,FALSE()),""))</f>
        <v/>
      </c>
    </row>
    <row r="69" customFormat="false" ht="15" hidden="false" customHeight="false" outlineLevel="0" collapsed="false">
      <c r="A69" s="10" t="str">
        <f aca="false">IF(B69="","","T"&amp;TEXT(ROW()-4,"0000"))</f>
        <v/>
      </c>
      <c r="B69" s="23"/>
      <c r="C69" s="10"/>
      <c r="D69" s="10"/>
      <c r="E69" s="10"/>
      <c r="F69" s="25"/>
      <c r="G69" s="10"/>
      <c r="H69" s="25"/>
      <c r="I69" s="12" t="str">
        <f aca="false">IF(F69="","",F69+H69)</f>
        <v/>
      </c>
      <c r="J69" s="10"/>
      <c r="K69" s="10"/>
      <c r="L69" s="10" t="str">
        <f aca="false">IF(B69="","",TEXT(B69,"YYYY-MM"))</f>
        <v/>
      </c>
      <c r="M69" s="10" t="str">
        <f aca="false">IF($E69="","",IFERROR(VLOOKUP($E69,Categories!$A:$B,2,FALSE()),""))</f>
        <v/>
      </c>
    </row>
    <row r="70" customFormat="false" ht="15" hidden="false" customHeight="false" outlineLevel="0" collapsed="false">
      <c r="A70" s="10" t="str">
        <f aca="false">IF(B70="","","T"&amp;TEXT(ROW()-4,"0000"))</f>
        <v/>
      </c>
      <c r="B70" s="23"/>
      <c r="C70" s="10"/>
      <c r="D70" s="10"/>
      <c r="E70" s="10"/>
      <c r="F70" s="25"/>
      <c r="G70" s="10"/>
      <c r="H70" s="25"/>
      <c r="I70" s="12" t="str">
        <f aca="false">IF(F70="","",F70+H70)</f>
        <v/>
      </c>
      <c r="J70" s="10"/>
      <c r="K70" s="10"/>
      <c r="L70" s="10" t="str">
        <f aca="false">IF(B70="","",TEXT(B70,"YYYY-MM"))</f>
        <v/>
      </c>
      <c r="M70" s="10" t="str">
        <f aca="false">IF($E70="","",IFERROR(VLOOKUP($E70,Categories!$A:$B,2,FALSE()),""))</f>
        <v/>
      </c>
    </row>
    <row r="71" customFormat="false" ht="15" hidden="false" customHeight="false" outlineLevel="0" collapsed="false">
      <c r="A71" s="10" t="str">
        <f aca="false">IF(B71="","","T"&amp;TEXT(ROW()-4,"0000"))</f>
        <v/>
      </c>
      <c r="B71" s="23"/>
      <c r="C71" s="10"/>
      <c r="D71" s="10"/>
      <c r="E71" s="10"/>
      <c r="F71" s="25"/>
      <c r="G71" s="10"/>
      <c r="H71" s="25"/>
      <c r="I71" s="12" t="str">
        <f aca="false">IF(F71="","",F71+H71)</f>
        <v/>
      </c>
      <c r="J71" s="10"/>
      <c r="K71" s="10"/>
      <c r="L71" s="10" t="str">
        <f aca="false">IF(B71="","",TEXT(B71,"YYYY-MM"))</f>
        <v/>
      </c>
      <c r="M71" s="10" t="str">
        <f aca="false">IF($E71="","",IFERROR(VLOOKUP($E71,Categories!$A:$B,2,FALSE()),""))</f>
        <v/>
      </c>
    </row>
    <row r="72" customFormat="false" ht="15" hidden="false" customHeight="false" outlineLevel="0" collapsed="false">
      <c r="A72" s="10" t="str">
        <f aca="false">IF(B72="","","T"&amp;TEXT(ROW()-4,"0000"))</f>
        <v/>
      </c>
      <c r="B72" s="23"/>
      <c r="C72" s="10"/>
      <c r="D72" s="10"/>
      <c r="E72" s="10"/>
      <c r="F72" s="25"/>
      <c r="G72" s="10"/>
      <c r="H72" s="25"/>
      <c r="I72" s="12" t="str">
        <f aca="false">IF(F72="","",F72+H72)</f>
        <v/>
      </c>
      <c r="J72" s="10"/>
      <c r="K72" s="10"/>
      <c r="L72" s="10" t="str">
        <f aca="false">IF(B72="","",TEXT(B72,"YYYY-MM"))</f>
        <v/>
      </c>
      <c r="M72" s="10" t="str">
        <f aca="false">IF($E72="","",IFERROR(VLOOKUP($E72,Categories!$A:$B,2,FALSE()),""))</f>
        <v/>
      </c>
    </row>
    <row r="73" customFormat="false" ht="15" hidden="false" customHeight="false" outlineLevel="0" collapsed="false">
      <c r="A73" s="10" t="str">
        <f aca="false">IF(B73="","","T"&amp;TEXT(ROW()-4,"0000"))</f>
        <v/>
      </c>
      <c r="B73" s="23"/>
      <c r="C73" s="10"/>
      <c r="D73" s="10"/>
      <c r="E73" s="10"/>
      <c r="F73" s="25"/>
      <c r="G73" s="10"/>
      <c r="H73" s="25"/>
      <c r="I73" s="12" t="str">
        <f aca="false">IF(F73="","",F73+H73)</f>
        <v/>
      </c>
      <c r="J73" s="10"/>
      <c r="K73" s="10"/>
      <c r="L73" s="10" t="str">
        <f aca="false">IF(B73="","",TEXT(B73,"YYYY-MM"))</f>
        <v/>
      </c>
      <c r="M73" s="10" t="str">
        <f aca="false">IF($E73="","",IFERROR(VLOOKUP($E73,Categories!$A:$B,2,FALSE()),""))</f>
        <v/>
      </c>
    </row>
    <row r="74" customFormat="false" ht="15" hidden="false" customHeight="false" outlineLevel="0" collapsed="false">
      <c r="A74" s="10" t="str">
        <f aca="false">IF(B74="","","T"&amp;TEXT(ROW()-4,"0000"))</f>
        <v/>
      </c>
      <c r="B74" s="23"/>
      <c r="C74" s="10"/>
      <c r="D74" s="10"/>
      <c r="E74" s="10"/>
      <c r="F74" s="25"/>
      <c r="G74" s="10"/>
      <c r="H74" s="25"/>
      <c r="I74" s="12" t="str">
        <f aca="false">IF(F74="","",F74+H74)</f>
        <v/>
      </c>
      <c r="J74" s="10"/>
      <c r="K74" s="10"/>
      <c r="L74" s="10" t="str">
        <f aca="false">IF(B74="","",TEXT(B74,"YYYY-MM"))</f>
        <v/>
      </c>
      <c r="M74" s="10" t="str">
        <f aca="false">IF($E74="","",IFERROR(VLOOKUP($E74,Categories!$A:$B,2,FALSE()),""))</f>
        <v/>
      </c>
    </row>
    <row r="75" customFormat="false" ht="15" hidden="false" customHeight="false" outlineLevel="0" collapsed="false">
      <c r="A75" s="10" t="str">
        <f aca="false">IF(B75="","","T"&amp;TEXT(ROW()-4,"0000"))</f>
        <v/>
      </c>
      <c r="B75" s="23"/>
      <c r="C75" s="10"/>
      <c r="D75" s="10"/>
      <c r="E75" s="10"/>
      <c r="F75" s="25"/>
      <c r="G75" s="10"/>
      <c r="H75" s="25"/>
      <c r="I75" s="12" t="str">
        <f aca="false">IF(F75="","",F75+H75)</f>
        <v/>
      </c>
      <c r="J75" s="10"/>
      <c r="K75" s="10"/>
      <c r="L75" s="10" t="str">
        <f aca="false">IF(B75="","",TEXT(B75,"YYYY-MM"))</f>
        <v/>
      </c>
      <c r="M75" s="10" t="str">
        <f aca="false">IF($E75="","",IFERROR(VLOOKUP($E75,Categories!$A:$B,2,FALSE()),""))</f>
        <v/>
      </c>
    </row>
    <row r="76" customFormat="false" ht="15" hidden="false" customHeight="false" outlineLevel="0" collapsed="false">
      <c r="A76" s="10" t="str">
        <f aca="false">IF(B76="","","T"&amp;TEXT(ROW()-4,"0000"))</f>
        <v/>
      </c>
      <c r="B76" s="23"/>
      <c r="C76" s="10"/>
      <c r="D76" s="10"/>
      <c r="E76" s="10"/>
      <c r="F76" s="25"/>
      <c r="G76" s="10"/>
      <c r="H76" s="25"/>
      <c r="I76" s="12" t="str">
        <f aca="false">IF(F76="","",F76+H76)</f>
        <v/>
      </c>
      <c r="J76" s="10"/>
      <c r="K76" s="10"/>
      <c r="L76" s="10" t="str">
        <f aca="false">IF(B76="","",TEXT(B76,"YYYY-MM"))</f>
        <v/>
      </c>
      <c r="M76" s="10" t="str">
        <f aca="false">IF($E76="","",IFERROR(VLOOKUP($E76,Categories!$A:$B,2,FALSE()),""))</f>
        <v/>
      </c>
    </row>
    <row r="77" customFormat="false" ht="15" hidden="false" customHeight="false" outlineLevel="0" collapsed="false">
      <c r="A77" s="10" t="str">
        <f aca="false">IF(B77="","","T"&amp;TEXT(ROW()-4,"0000"))</f>
        <v/>
      </c>
      <c r="B77" s="23"/>
      <c r="C77" s="10"/>
      <c r="D77" s="10"/>
      <c r="E77" s="10"/>
      <c r="F77" s="25"/>
      <c r="G77" s="10"/>
      <c r="H77" s="25"/>
      <c r="I77" s="12" t="str">
        <f aca="false">IF(F77="","",F77+H77)</f>
        <v/>
      </c>
      <c r="J77" s="10"/>
      <c r="K77" s="10"/>
      <c r="L77" s="10" t="str">
        <f aca="false">IF(B77="","",TEXT(B77,"YYYY-MM"))</f>
        <v/>
      </c>
      <c r="M77" s="10" t="str">
        <f aca="false">IF($E77="","",IFERROR(VLOOKUP($E77,Categories!$A:$B,2,FALSE()),""))</f>
        <v/>
      </c>
    </row>
    <row r="78" customFormat="false" ht="15" hidden="false" customHeight="false" outlineLevel="0" collapsed="false">
      <c r="A78" s="10" t="str">
        <f aca="false">IF(B78="","","T"&amp;TEXT(ROW()-4,"0000"))</f>
        <v/>
      </c>
      <c r="B78" s="23"/>
      <c r="C78" s="10"/>
      <c r="D78" s="10"/>
      <c r="E78" s="10"/>
      <c r="F78" s="25"/>
      <c r="G78" s="10"/>
      <c r="H78" s="25"/>
      <c r="I78" s="12" t="str">
        <f aca="false">IF(F78="","",F78+H78)</f>
        <v/>
      </c>
      <c r="J78" s="10"/>
      <c r="K78" s="10"/>
      <c r="L78" s="10" t="str">
        <f aca="false">IF(B78="","",TEXT(B78,"YYYY-MM"))</f>
        <v/>
      </c>
      <c r="M78" s="10" t="str">
        <f aca="false">IF($E78="","",IFERROR(VLOOKUP($E78,Categories!$A:$B,2,FALSE()),""))</f>
        <v/>
      </c>
    </row>
    <row r="79" customFormat="false" ht="15" hidden="false" customHeight="false" outlineLevel="0" collapsed="false">
      <c r="A79" s="10" t="str">
        <f aca="false">IF(B79="","","T"&amp;TEXT(ROW()-4,"0000"))</f>
        <v/>
      </c>
      <c r="B79" s="23"/>
      <c r="C79" s="10"/>
      <c r="D79" s="10"/>
      <c r="E79" s="10"/>
      <c r="F79" s="25"/>
      <c r="G79" s="10"/>
      <c r="H79" s="25"/>
      <c r="I79" s="12" t="str">
        <f aca="false">IF(F79="","",F79+H79)</f>
        <v/>
      </c>
      <c r="J79" s="10"/>
      <c r="K79" s="10"/>
      <c r="L79" s="10" t="str">
        <f aca="false">IF(B79="","",TEXT(B79,"YYYY-MM"))</f>
        <v/>
      </c>
      <c r="M79" s="10" t="str">
        <f aca="false">IF($E79="","",IFERROR(VLOOKUP($E79,Categories!$A:$B,2,FALSE()),""))</f>
        <v/>
      </c>
    </row>
    <row r="80" customFormat="false" ht="15" hidden="false" customHeight="false" outlineLevel="0" collapsed="false">
      <c r="A80" s="10" t="str">
        <f aca="false">IF(B80="","","T"&amp;TEXT(ROW()-4,"0000"))</f>
        <v/>
      </c>
      <c r="B80" s="23"/>
      <c r="C80" s="10"/>
      <c r="D80" s="10"/>
      <c r="E80" s="10"/>
      <c r="F80" s="25"/>
      <c r="G80" s="10"/>
      <c r="H80" s="25"/>
      <c r="I80" s="12" t="str">
        <f aca="false">IF(F80="","",F80+H80)</f>
        <v/>
      </c>
      <c r="J80" s="10"/>
      <c r="K80" s="10"/>
      <c r="L80" s="10" t="str">
        <f aca="false">IF(B80="","",TEXT(B80,"YYYY-MM"))</f>
        <v/>
      </c>
      <c r="M80" s="10" t="str">
        <f aca="false">IF($E80="","",IFERROR(VLOOKUP($E80,Categories!$A:$B,2,FALSE()),""))</f>
        <v/>
      </c>
    </row>
    <row r="81" customFormat="false" ht="15" hidden="false" customHeight="false" outlineLevel="0" collapsed="false">
      <c r="A81" s="10" t="str">
        <f aca="false">IF(B81="","","T"&amp;TEXT(ROW()-4,"0000"))</f>
        <v/>
      </c>
      <c r="B81" s="23"/>
      <c r="C81" s="10"/>
      <c r="D81" s="10"/>
      <c r="E81" s="10"/>
      <c r="F81" s="25"/>
      <c r="G81" s="10"/>
      <c r="H81" s="25"/>
      <c r="I81" s="12" t="str">
        <f aca="false">IF(F81="","",F81+H81)</f>
        <v/>
      </c>
      <c r="J81" s="10"/>
      <c r="K81" s="10"/>
      <c r="L81" s="10" t="str">
        <f aca="false">IF(B81="","",TEXT(B81,"YYYY-MM"))</f>
        <v/>
      </c>
      <c r="M81" s="10" t="str">
        <f aca="false">IF($E81="","",IFERROR(VLOOKUP($E81,Categories!$A:$B,2,FALSE()),""))</f>
        <v/>
      </c>
    </row>
    <row r="82" customFormat="false" ht="15" hidden="false" customHeight="false" outlineLevel="0" collapsed="false">
      <c r="A82" s="10" t="str">
        <f aca="false">IF(B82="","","T"&amp;TEXT(ROW()-4,"0000"))</f>
        <v/>
      </c>
      <c r="B82" s="23"/>
      <c r="C82" s="10"/>
      <c r="D82" s="10"/>
      <c r="E82" s="10"/>
      <c r="F82" s="25"/>
      <c r="G82" s="10"/>
      <c r="H82" s="25"/>
      <c r="I82" s="12" t="str">
        <f aca="false">IF(F82="","",F82+H82)</f>
        <v/>
      </c>
      <c r="J82" s="10"/>
      <c r="K82" s="10"/>
      <c r="L82" s="10" t="str">
        <f aca="false">IF(B82="","",TEXT(B82,"YYYY-MM"))</f>
        <v/>
      </c>
      <c r="M82" s="10" t="str">
        <f aca="false">IF($E82="","",IFERROR(VLOOKUP($E82,Categories!$A:$B,2,FALSE()),""))</f>
        <v/>
      </c>
    </row>
    <row r="83" customFormat="false" ht="15" hidden="false" customHeight="false" outlineLevel="0" collapsed="false">
      <c r="A83" s="10" t="str">
        <f aca="false">IF(B83="","","T"&amp;TEXT(ROW()-4,"0000"))</f>
        <v/>
      </c>
      <c r="B83" s="23"/>
      <c r="C83" s="10"/>
      <c r="D83" s="10"/>
      <c r="E83" s="10"/>
      <c r="F83" s="25"/>
      <c r="G83" s="10"/>
      <c r="H83" s="25"/>
      <c r="I83" s="12" t="str">
        <f aca="false">IF(F83="","",F83+H83)</f>
        <v/>
      </c>
      <c r="J83" s="10"/>
      <c r="K83" s="10"/>
      <c r="L83" s="10" t="str">
        <f aca="false">IF(B83="","",TEXT(B83,"YYYY-MM"))</f>
        <v/>
      </c>
      <c r="M83" s="10" t="str">
        <f aca="false">IF($E83="","",IFERROR(VLOOKUP($E83,Categories!$A:$B,2,FALSE()),""))</f>
        <v/>
      </c>
    </row>
    <row r="84" customFormat="false" ht="15" hidden="false" customHeight="false" outlineLevel="0" collapsed="false">
      <c r="A84" s="10" t="str">
        <f aca="false">IF(B84="","","T"&amp;TEXT(ROW()-4,"0000"))</f>
        <v/>
      </c>
      <c r="B84" s="23"/>
      <c r="C84" s="10"/>
      <c r="D84" s="10"/>
      <c r="E84" s="10"/>
      <c r="F84" s="25"/>
      <c r="G84" s="10"/>
      <c r="H84" s="25"/>
      <c r="I84" s="12" t="str">
        <f aca="false">IF(F84="","",F84+H84)</f>
        <v/>
      </c>
      <c r="J84" s="10"/>
      <c r="K84" s="10"/>
      <c r="L84" s="10" t="str">
        <f aca="false">IF(B84="","",TEXT(B84,"YYYY-MM"))</f>
        <v/>
      </c>
      <c r="M84" s="10" t="str">
        <f aca="false">IF($E84="","",IFERROR(VLOOKUP($E84,Categories!$A:$B,2,FALSE()),""))</f>
        <v/>
      </c>
    </row>
    <row r="85" customFormat="false" ht="15" hidden="false" customHeight="false" outlineLevel="0" collapsed="false">
      <c r="A85" s="10" t="str">
        <f aca="false">IF(B85="","","T"&amp;TEXT(ROW()-4,"0000"))</f>
        <v/>
      </c>
      <c r="B85" s="23"/>
      <c r="C85" s="10"/>
      <c r="D85" s="10"/>
      <c r="E85" s="10"/>
      <c r="F85" s="25"/>
      <c r="G85" s="10"/>
      <c r="H85" s="25"/>
      <c r="I85" s="12" t="str">
        <f aca="false">IF(F85="","",F85+H85)</f>
        <v/>
      </c>
      <c r="J85" s="10"/>
      <c r="K85" s="10"/>
      <c r="L85" s="10" t="str">
        <f aca="false">IF(B85="","",TEXT(B85,"YYYY-MM"))</f>
        <v/>
      </c>
      <c r="M85" s="10" t="str">
        <f aca="false">IF($E85="","",IFERROR(VLOOKUP($E85,Categories!$A:$B,2,FALSE()),""))</f>
        <v/>
      </c>
    </row>
    <row r="86" customFormat="false" ht="15" hidden="false" customHeight="false" outlineLevel="0" collapsed="false">
      <c r="A86" s="10" t="str">
        <f aca="false">IF(B86="","","T"&amp;TEXT(ROW()-4,"0000"))</f>
        <v/>
      </c>
      <c r="B86" s="23"/>
      <c r="C86" s="10"/>
      <c r="D86" s="10"/>
      <c r="E86" s="10"/>
      <c r="F86" s="25"/>
      <c r="G86" s="10"/>
      <c r="H86" s="25"/>
      <c r="I86" s="12" t="str">
        <f aca="false">IF(F86="","",F86+H86)</f>
        <v/>
      </c>
      <c r="J86" s="10"/>
      <c r="K86" s="10"/>
      <c r="L86" s="10" t="str">
        <f aca="false">IF(B86="","",TEXT(B86,"YYYY-MM"))</f>
        <v/>
      </c>
      <c r="M86" s="10" t="str">
        <f aca="false">IF($E86="","",IFERROR(VLOOKUP($E86,Categories!$A:$B,2,FALSE()),""))</f>
        <v/>
      </c>
    </row>
    <row r="87" customFormat="false" ht="15" hidden="false" customHeight="false" outlineLevel="0" collapsed="false">
      <c r="A87" s="10" t="str">
        <f aca="false">IF(B87="","","T"&amp;TEXT(ROW()-4,"0000"))</f>
        <v/>
      </c>
      <c r="B87" s="23"/>
      <c r="C87" s="10"/>
      <c r="D87" s="10"/>
      <c r="E87" s="10"/>
      <c r="F87" s="25"/>
      <c r="G87" s="10"/>
      <c r="H87" s="25"/>
      <c r="I87" s="12" t="str">
        <f aca="false">IF(F87="","",F87+H87)</f>
        <v/>
      </c>
      <c r="J87" s="10"/>
      <c r="K87" s="10"/>
      <c r="L87" s="10" t="str">
        <f aca="false">IF(B87="","",TEXT(B87,"YYYY-MM"))</f>
        <v/>
      </c>
      <c r="M87" s="10" t="str">
        <f aca="false">IF($E87="","",IFERROR(VLOOKUP($E87,Categories!$A:$B,2,FALSE()),""))</f>
        <v/>
      </c>
    </row>
    <row r="88" customFormat="false" ht="15" hidden="false" customHeight="false" outlineLevel="0" collapsed="false">
      <c r="A88" s="10" t="str">
        <f aca="false">IF(B88="","","T"&amp;TEXT(ROW()-4,"0000"))</f>
        <v/>
      </c>
      <c r="B88" s="23"/>
      <c r="C88" s="10"/>
      <c r="D88" s="10"/>
      <c r="E88" s="10"/>
      <c r="F88" s="25"/>
      <c r="G88" s="10"/>
      <c r="H88" s="25"/>
      <c r="I88" s="12" t="str">
        <f aca="false">IF(F88="","",F88+H88)</f>
        <v/>
      </c>
      <c r="J88" s="10"/>
      <c r="K88" s="10"/>
      <c r="L88" s="10" t="str">
        <f aca="false">IF(B88="","",TEXT(B88,"YYYY-MM"))</f>
        <v/>
      </c>
      <c r="M88" s="10" t="str">
        <f aca="false">IF($E88="","",IFERROR(VLOOKUP($E88,Categories!$A:$B,2,FALSE()),""))</f>
        <v/>
      </c>
    </row>
    <row r="89" customFormat="false" ht="15" hidden="false" customHeight="false" outlineLevel="0" collapsed="false">
      <c r="A89" s="10" t="str">
        <f aca="false">IF(B89="","","T"&amp;TEXT(ROW()-4,"0000"))</f>
        <v/>
      </c>
      <c r="B89" s="23"/>
      <c r="C89" s="10"/>
      <c r="D89" s="10"/>
      <c r="E89" s="10"/>
      <c r="F89" s="25"/>
      <c r="G89" s="10"/>
      <c r="H89" s="25"/>
      <c r="I89" s="12" t="str">
        <f aca="false">IF(F89="","",F89+H89)</f>
        <v/>
      </c>
      <c r="J89" s="10"/>
      <c r="K89" s="10"/>
      <c r="L89" s="10" t="str">
        <f aca="false">IF(B89="","",TEXT(B89,"YYYY-MM"))</f>
        <v/>
      </c>
      <c r="M89" s="10" t="str">
        <f aca="false">IF($E89="","",IFERROR(VLOOKUP($E89,Categories!$A:$B,2,FALSE()),""))</f>
        <v/>
      </c>
    </row>
    <row r="90" customFormat="false" ht="15" hidden="false" customHeight="false" outlineLevel="0" collapsed="false">
      <c r="A90" s="10" t="str">
        <f aca="false">IF(B90="","","T"&amp;TEXT(ROW()-4,"0000"))</f>
        <v/>
      </c>
      <c r="B90" s="23"/>
      <c r="C90" s="10"/>
      <c r="D90" s="10"/>
      <c r="E90" s="10"/>
      <c r="F90" s="25"/>
      <c r="G90" s="10"/>
      <c r="H90" s="25"/>
      <c r="I90" s="12" t="str">
        <f aca="false">IF(F90="","",F90+H90)</f>
        <v/>
      </c>
      <c r="J90" s="10"/>
      <c r="K90" s="10"/>
      <c r="L90" s="10" t="str">
        <f aca="false">IF(B90="","",TEXT(B90,"YYYY-MM"))</f>
        <v/>
      </c>
      <c r="M90" s="10" t="str">
        <f aca="false">IF($E90="","",IFERROR(VLOOKUP($E90,Categories!$A:$B,2,FALSE()),""))</f>
        <v/>
      </c>
    </row>
    <row r="91" customFormat="false" ht="15" hidden="false" customHeight="false" outlineLevel="0" collapsed="false">
      <c r="A91" s="10" t="str">
        <f aca="false">IF(B91="","","T"&amp;TEXT(ROW()-4,"0000"))</f>
        <v/>
      </c>
      <c r="B91" s="23"/>
      <c r="C91" s="10"/>
      <c r="D91" s="10"/>
      <c r="E91" s="10"/>
      <c r="F91" s="25"/>
      <c r="G91" s="10"/>
      <c r="H91" s="25"/>
      <c r="I91" s="12" t="str">
        <f aca="false">IF(F91="","",F91+H91)</f>
        <v/>
      </c>
      <c r="J91" s="10"/>
      <c r="K91" s="10"/>
      <c r="L91" s="10" t="str">
        <f aca="false">IF(B91="","",TEXT(B91,"YYYY-MM"))</f>
        <v/>
      </c>
      <c r="M91" s="10" t="str">
        <f aca="false">IF($E91="","",IFERROR(VLOOKUP($E91,Categories!$A:$B,2,FALSE()),""))</f>
        <v/>
      </c>
    </row>
    <row r="92" customFormat="false" ht="15" hidden="false" customHeight="false" outlineLevel="0" collapsed="false">
      <c r="A92" s="10" t="str">
        <f aca="false">IF(B92="","","T"&amp;TEXT(ROW()-4,"0000"))</f>
        <v/>
      </c>
      <c r="B92" s="23"/>
      <c r="C92" s="10"/>
      <c r="D92" s="10"/>
      <c r="E92" s="10"/>
      <c r="F92" s="25"/>
      <c r="G92" s="10"/>
      <c r="H92" s="25"/>
      <c r="I92" s="12" t="str">
        <f aca="false">IF(F92="","",F92+H92)</f>
        <v/>
      </c>
      <c r="J92" s="10"/>
      <c r="K92" s="10"/>
      <c r="L92" s="10" t="str">
        <f aca="false">IF(B92="","",TEXT(B92,"YYYY-MM"))</f>
        <v/>
      </c>
      <c r="M92" s="10" t="str">
        <f aca="false">IF($E92="","",IFERROR(VLOOKUP($E92,Categories!$A:$B,2,FALSE()),""))</f>
        <v/>
      </c>
    </row>
    <row r="93" customFormat="false" ht="15" hidden="false" customHeight="false" outlineLevel="0" collapsed="false">
      <c r="A93" s="10" t="str">
        <f aca="false">IF(B93="","","T"&amp;TEXT(ROW()-4,"0000"))</f>
        <v/>
      </c>
      <c r="B93" s="23"/>
      <c r="C93" s="10"/>
      <c r="D93" s="10"/>
      <c r="E93" s="10"/>
      <c r="F93" s="25"/>
      <c r="G93" s="10"/>
      <c r="H93" s="25"/>
      <c r="I93" s="12" t="str">
        <f aca="false">IF(F93="","",F93+H93)</f>
        <v/>
      </c>
      <c r="J93" s="10"/>
      <c r="K93" s="10"/>
      <c r="L93" s="10" t="str">
        <f aca="false">IF(B93="","",TEXT(B93,"YYYY-MM"))</f>
        <v/>
      </c>
      <c r="M93" s="10" t="str">
        <f aca="false">IF($E93="","",IFERROR(VLOOKUP($E93,Categories!$A:$B,2,FALSE()),""))</f>
        <v/>
      </c>
    </row>
    <row r="94" customFormat="false" ht="15" hidden="false" customHeight="false" outlineLevel="0" collapsed="false">
      <c r="A94" s="10" t="str">
        <f aca="false">IF(B94="","","T"&amp;TEXT(ROW()-4,"0000"))</f>
        <v/>
      </c>
      <c r="B94" s="23"/>
      <c r="C94" s="10"/>
      <c r="D94" s="10"/>
      <c r="E94" s="10"/>
      <c r="F94" s="25"/>
      <c r="G94" s="10"/>
      <c r="H94" s="25"/>
      <c r="I94" s="12" t="str">
        <f aca="false">IF(F94="","",F94+H94)</f>
        <v/>
      </c>
      <c r="J94" s="10"/>
      <c r="K94" s="10"/>
      <c r="L94" s="10" t="str">
        <f aca="false">IF(B94="","",TEXT(B94,"YYYY-MM"))</f>
        <v/>
      </c>
      <c r="M94" s="10" t="str">
        <f aca="false">IF($E94="","",IFERROR(VLOOKUP($E94,Categories!$A:$B,2,FALSE()),""))</f>
        <v/>
      </c>
    </row>
    <row r="95" customFormat="false" ht="15" hidden="false" customHeight="false" outlineLevel="0" collapsed="false">
      <c r="A95" s="10" t="str">
        <f aca="false">IF(B95="","","T"&amp;TEXT(ROW()-4,"0000"))</f>
        <v/>
      </c>
      <c r="B95" s="23"/>
      <c r="C95" s="10"/>
      <c r="D95" s="10"/>
      <c r="E95" s="10"/>
      <c r="F95" s="25"/>
      <c r="G95" s="10"/>
      <c r="H95" s="25"/>
      <c r="I95" s="12" t="str">
        <f aca="false">IF(F95="","",F95+H95)</f>
        <v/>
      </c>
      <c r="J95" s="10"/>
      <c r="K95" s="10"/>
      <c r="L95" s="10" t="str">
        <f aca="false">IF(B95="","",TEXT(B95,"YYYY-MM"))</f>
        <v/>
      </c>
      <c r="M95" s="10" t="str">
        <f aca="false">IF($E95="","",IFERROR(VLOOKUP($E95,Categories!$A:$B,2,FALSE()),""))</f>
        <v/>
      </c>
    </row>
    <row r="96" customFormat="false" ht="15" hidden="false" customHeight="false" outlineLevel="0" collapsed="false">
      <c r="A96" s="10" t="str">
        <f aca="false">IF(B96="","","T"&amp;TEXT(ROW()-4,"0000"))</f>
        <v/>
      </c>
      <c r="B96" s="23"/>
      <c r="C96" s="10"/>
      <c r="D96" s="10"/>
      <c r="E96" s="10"/>
      <c r="F96" s="25"/>
      <c r="G96" s="10"/>
      <c r="H96" s="25"/>
      <c r="I96" s="12" t="str">
        <f aca="false">IF(F96="","",F96+H96)</f>
        <v/>
      </c>
      <c r="J96" s="10"/>
      <c r="K96" s="10"/>
      <c r="L96" s="10" t="str">
        <f aca="false">IF(B96="","",TEXT(B96,"YYYY-MM"))</f>
        <v/>
      </c>
      <c r="M96" s="10" t="str">
        <f aca="false">IF($E96="","",IFERROR(VLOOKUP($E96,Categories!$A:$B,2,FALSE()),""))</f>
        <v/>
      </c>
    </row>
    <row r="97" customFormat="false" ht="15" hidden="false" customHeight="false" outlineLevel="0" collapsed="false">
      <c r="A97" s="10" t="str">
        <f aca="false">IF(B97="","","T"&amp;TEXT(ROW()-4,"0000"))</f>
        <v/>
      </c>
      <c r="B97" s="23"/>
      <c r="C97" s="10"/>
      <c r="D97" s="10"/>
      <c r="E97" s="10"/>
      <c r="F97" s="25"/>
      <c r="G97" s="10"/>
      <c r="H97" s="25"/>
      <c r="I97" s="12" t="str">
        <f aca="false">IF(F97="","",F97+H97)</f>
        <v/>
      </c>
      <c r="J97" s="10"/>
      <c r="K97" s="10"/>
      <c r="L97" s="10" t="str">
        <f aca="false">IF(B97="","",TEXT(B97,"YYYY-MM"))</f>
        <v/>
      </c>
      <c r="M97" s="10" t="str">
        <f aca="false">IF($E97="","",IFERROR(VLOOKUP($E97,Categories!$A:$B,2,FALSE()),""))</f>
        <v/>
      </c>
    </row>
    <row r="98" customFormat="false" ht="15" hidden="false" customHeight="false" outlineLevel="0" collapsed="false">
      <c r="A98" s="10" t="str">
        <f aca="false">IF(B98="","","T"&amp;TEXT(ROW()-4,"0000"))</f>
        <v/>
      </c>
      <c r="B98" s="23"/>
      <c r="C98" s="10"/>
      <c r="D98" s="10"/>
      <c r="E98" s="10"/>
      <c r="F98" s="25"/>
      <c r="G98" s="10"/>
      <c r="H98" s="25"/>
      <c r="I98" s="12" t="str">
        <f aca="false">IF(F98="","",F98+H98)</f>
        <v/>
      </c>
      <c r="J98" s="10"/>
      <c r="K98" s="10"/>
      <c r="L98" s="10" t="str">
        <f aca="false">IF(B98="","",TEXT(B98,"YYYY-MM"))</f>
        <v/>
      </c>
      <c r="M98" s="10" t="str">
        <f aca="false">IF($E98="","",IFERROR(VLOOKUP($E98,Categories!$A:$B,2,FALSE()),""))</f>
        <v/>
      </c>
    </row>
    <row r="99" customFormat="false" ht="15" hidden="false" customHeight="false" outlineLevel="0" collapsed="false">
      <c r="A99" s="10" t="str">
        <f aca="false">IF(B99="","","T"&amp;TEXT(ROW()-4,"0000"))</f>
        <v/>
      </c>
      <c r="B99" s="23"/>
      <c r="C99" s="10"/>
      <c r="D99" s="10"/>
      <c r="E99" s="10"/>
      <c r="F99" s="25"/>
      <c r="G99" s="10"/>
      <c r="H99" s="25"/>
      <c r="I99" s="12" t="str">
        <f aca="false">IF(F99="","",F99+H99)</f>
        <v/>
      </c>
      <c r="J99" s="10"/>
      <c r="K99" s="10"/>
      <c r="L99" s="10" t="str">
        <f aca="false">IF(B99="","",TEXT(B99,"YYYY-MM"))</f>
        <v/>
      </c>
      <c r="M99" s="10" t="str">
        <f aca="false">IF($E99="","",IFERROR(VLOOKUP($E99,Categories!$A:$B,2,FALSE()),""))</f>
        <v/>
      </c>
    </row>
    <row r="100" customFormat="false" ht="15" hidden="false" customHeight="false" outlineLevel="0" collapsed="false">
      <c r="A100" s="10" t="str">
        <f aca="false">IF(B100="","","T"&amp;TEXT(ROW()-4,"0000"))</f>
        <v/>
      </c>
      <c r="B100" s="23"/>
      <c r="C100" s="10"/>
      <c r="D100" s="10"/>
      <c r="E100" s="10"/>
      <c r="F100" s="25"/>
      <c r="G100" s="10"/>
      <c r="H100" s="25"/>
      <c r="I100" s="12" t="str">
        <f aca="false">IF(F100="","",F100+H100)</f>
        <v/>
      </c>
      <c r="J100" s="10"/>
      <c r="K100" s="10"/>
      <c r="L100" s="10" t="str">
        <f aca="false">IF(B100="","",TEXT(B100,"YYYY-MM"))</f>
        <v/>
      </c>
      <c r="M100" s="10" t="str">
        <f aca="false">IF($E100="","",IFERROR(VLOOKUP($E100,Categories!$A:$B,2,FALSE()),""))</f>
        <v/>
      </c>
    </row>
    <row r="101" customFormat="false" ht="15" hidden="false" customHeight="false" outlineLevel="0" collapsed="false">
      <c r="A101" s="10" t="str">
        <f aca="false">IF(B101="","","T"&amp;TEXT(ROW()-4,"0000"))</f>
        <v/>
      </c>
      <c r="B101" s="23"/>
      <c r="C101" s="10"/>
      <c r="D101" s="10"/>
      <c r="E101" s="10"/>
      <c r="F101" s="25"/>
      <c r="G101" s="10"/>
      <c r="H101" s="25"/>
      <c r="I101" s="12" t="str">
        <f aca="false">IF(F101="","",F101+H101)</f>
        <v/>
      </c>
      <c r="J101" s="10"/>
      <c r="K101" s="10"/>
      <c r="L101" s="10" t="str">
        <f aca="false">IF(B101="","",TEXT(B101,"YYYY-MM"))</f>
        <v/>
      </c>
      <c r="M101" s="10" t="str">
        <f aca="false">IF($E101="","",IFERROR(VLOOKUP($E101,Categories!$A:$B,2,FALSE()),""))</f>
        <v/>
      </c>
    </row>
    <row r="102" customFormat="false" ht="15" hidden="false" customHeight="false" outlineLevel="0" collapsed="false">
      <c r="A102" s="10" t="str">
        <f aca="false">IF(B102="","","T"&amp;TEXT(ROW()-4,"0000"))</f>
        <v/>
      </c>
      <c r="B102" s="23"/>
      <c r="C102" s="10"/>
      <c r="D102" s="10"/>
      <c r="E102" s="10"/>
      <c r="F102" s="25"/>
      <c r="G102" s="10"/>
      <c r="H102" s="25"/>
      <c r="I102" s="12" t="str">
        <f aca="false">IF(F102="","",F102+H102)</f>
        <v/>
      </c>
      <c r="J102" s="10"/>
      <c r="K102" s="10"/>
      <c r="L102" s="10" t="str">
        <f aca="false">IF(B102="","",TEXT(B102,"YYYY-MM"))</f>
        <v/>
      </c>
      <c r="M102" s="10" t="str">
        <f aca="false">IF($E102="","",IFERROR(VLOOKUP($E102,Categories!$A:$B,2,FALSE()),""))</f>
        <v/>
      </c>
    </row>
    <row r="103" customFormat="false" ht="15" hidden="false" customHeight="false" outlineLevel="0" collapsed="false">
      <c r="A103" s="10" t="str">
        <f aca="false">IF(B103="","","T"&amp;TEXT(ROW()-4,"0000"))</f>
        <v/>
      </c>
      <c r="B103" s="23"/>
      <c r="C103" s="10"/>
      <c r="D103" s="10"/>
      <c r="E103" s="10"/>
      <c r="F103" s="25"/>
      <c r="G103" s="10"/>
      <c r="H103" s="25"/>
      <c r="I103" s="12" t="str">
        <f aca="false">IF(F103="","",F103+H103)</f>
        <v/>
      </c>
      <c r="J103" s="10"/>
      <c r="K103" s="10"/>
      <c r="L103" s="10" t="str">
        <f aca="false">IF(B103="","",TEXT(B103,"YYYY-MM"))</f>
        <v/>
      </c>
      <c r="M103" s="10" t="str">
        <f aca="false">IF($E103="","",IFERROR(VLOOKUP($E103,Categories!$A:$B,2,FALSE()),""))</f>
        <v/>
      </c>
    </row>
    <row r="104" customFormat="false" ht="15" hidden="false" customHeight="false" outlineLevel="0" collapsed="false">
      <c r="A104" s="10" t="str">
        <f aca="false">IF(B104="","","T"&amp;TEXT(ROW()-4,"0000"))</f>
        <v/>
      </c>
      <c r="B104" s="23"/>
      <c r="C104" s="10"/>
      <c r="D104" s="10"/>
      <c r="E104" s="10"/>
      <c r="F104" s="25"/>
      <c r="G104" s="10"/>
      <c r="H104" s="25"/>
      <c r="I104" s="12" t="str">
        <f aca="false">IF(F104="","",F104+H104)</f>
        <v/>
      </c>
      <c r="J104" s="10"/>
      <c r="K104" s="10"/>
      <c r="L104" s="10" t="str">
        <f aca="false">IF(B104="","",TEXT(B104,"YYYY-MM"))</f>
        <v/>
      </c>
      <c r="M104" s="10" t="str">
        <f aca="false">IF($E104="","",IFERROR(VLOOKUP($E104,Categories!$A:$B,2,FALSE()),""))</f>
        <v/>
      </c>
    </row>
    <row r="105" customFormat="false" ht="15" hidden="false" customHeight="false" outlineLevel="0" collapsed="false">
      <c r="A105" s="10" t="str">
        <f aca="false">IF(B105="","","T"&amp;TEXT(ROW()-4,"0000"))</f>
        <v/>
      </c>
      <c r="B105" s="23"/>
      <c r="C105" s="10"/>
      <c r="D105" s="10"/>
      <c r="E105" s="10"/>
      <c r="F105" s="25"/>
      <c r="G105" s="10"/>
      <c r="H105" s="25"/>
      <c r="I105" s="12" t="str">
        <f aca="false">IF(F105="","",F105+H105)</f>
        <v/>
      </c>
      <c r="J105" s="10"/>
      <c r="K105" s="10"/>
      <c r="L105" s="10" t="str">
        <f aca="false">IF(B105="","",TEXT(B105,"YYYY-MM"))</f>
        <v/>
      </c>
      <c r="M105" s="10" t="str">
        <f aca="false">IF($E105="","",IFERROR(VLOOKUP($E105,Categories!$A:$B,2,FALSE()),""))</f>
        <v/>
      </c>
    </row>
    <row r="106" customFormat="false" ht="15" hidden="false" customHeight="false" outlineLevel="0" collapsed="false">
      <c r="A106" s="10" t="str">
        <f aca="false">IF(B106="","","T"&amp;TEXT(ROW()-4,"0000"))</f>
        <v/>
      </c>
      <c r="B106" s="23"/>
      <c r="C106" s="10"/>
      <c r="D106" s="10"/>
      <c r="E106" s="10"/>
      <c r="F106" s="25"/>
      <c r="G106" s="10"/>
      <c r="H106" s="25"/>
      <c r="I106" s="12" t="str">
        <f aca="false">IF(F106="","",F106+H106)</f>
        <v/>
      </c>
      <c r="J106" s="10"/>
      <c r="K106" s="10"/>
      <c r="L106" s="10" t="str">
        <f aca="false">IF(B106="","",TEXT(B106,"YYYY-MM"))</f>
        <v/>
      </c>
      <c r="M106" s="10" t="str">
        <f aca="false">IF($E106="","",IFERROR(VLOOKUP($E106,Categories!$A:$B,2,FALSE()),""))</f>
        <v/>
      </c>
    </row>
    <row r="107" customFormat="false" ht="15" hidden="false" customHeight="false" outlineLevel="0" collapsed="false">
      <c r="A107" s="10" t="str">
        <f aca="false">IF(B107="","","T"&amp;TEXT(ROW()-4,"0000"))</f>
        <v/>
      </c>
      <c r="B107" s="23"/>
      <c r="C107" s="10"/>
      <c r="D107" s="10"/>
      <c r="E107" s="10"/>
      <c r="F107" s="25"/>
      <c r="G107" s="10"/>
      <c r="H107" s="25"/>
      <c r="I107" s="12" t="str">
        <f aca="false">IF(F107="","",F107+H107)</f>
        <v/>
      </c>
      <c r="J107" s="10"/>
      <c r="K107" s="10"/>
      <c r="L107" s="10" t="str">
        <f aca="false">IF(B107="","",TEXT(B107,"YYYY-MM"))</f>
        <v/>
      </c>
      <c r="M107" s="10" t="str">
        <f aca="false">IF($E107="","",IFERROR(VLOOKUP($E107,Categories!$A:$B,2,FALSE()),""))</f>
        <v/>
      </c>
    </row>
    <row r="108" customFormat="false" ht="15" hidden="false" customHeight="false" outlineLevel="0" collapsed="false">
      <c r="A108" s="10" t="str">
        <f aca="false">IF(B108="","","T"&amp;TEXT(ROW()-4,"0000"))</f>
        <v/>
      </c>
      <c r="B108" s="23"/>
      <c r="C108" s="10"/>
      <c r="D108" s="10"/>
      <c r="E108" s="10"/>
      <c r="F108" s="25"/>
      <c r="G108" s="10"/>
      <c r="H108" s="25"/>
      <c r="I108" s="12" t="str">
        <f aca="false">IF(F108="","",F108+H108)</f>
        <v/>
      </c>
      <c r="J108" s="10"/>
      <c r="K108" s="10"/>
      <c r="L108" s="10" t="str">
        <f aca="false">IF(B108="","",TEXT(B108,"YYYY-MM"))</f>
        <v/>
      </c>
      <c r="M108" s="10" t="str">
        <f aca="false">IF($E108="","",IFERROR(VLOOKUP($E108,Categories!$A:$B,2,FALSE()),""))</f>
        <v/>
      </c>
    </row>
    <row r="109" customFormat="false" ht="15" hidden="false" customHeight="false" outlineLevel="0" collapsed="false">
      <c r="A109" s="10" t="str">
        <f aca="false">IF(B109="","","T"&amp;TEXT(ROW()-4,"0000"))</f>
        <v/>
      </c>
      <c r="B109" s="23"/>
      <c r="C109" s="10"/>
      <c r="D109" s="10"/>
      <c r="E109" s="10"/>
      <c r="F109" s="25"/>
      <c r="G109" s="10"/>
      <c r="H109" s="25"/>
      <c r="I109" s="12" t="str">
        <f aca="false">IF(F109="","",F109+H109)</f>
        <v/>
      </c>
      <c r="J109" s="10"/>
      <c r="K109" s="10"/>
      <c r="L109" s="10" t="str">
        <f aca="false">IF(B109="","",TEXT(B109,"YYYY-MM"))</f>
        <v/>
      </c>
      <c r="M109" s="10" t="str">
        <f aca="false">IF($E109="","",IFERROR(VLOOKUP($E109,Categories!$A:$B,2,FALSE()),""))</f>
        <v/>
      </c>
    </row>
    <row r="110" customFormat="false" ht="15" hidden="false" customHeight="false" outlineLevel="0" collapsed="false">
      <c r="A110" s="10" t="str">
        <f aca="false">IF(B110="","","T"&amp;TEXT(ROW()-4,"0000"))</f>
        <v/>
      </c>
      <c r="B110" s="23"/>
      <c r="C110" s="10"/>
      <c r="D110" s="10"/>
      <c r="E110" s="10"/>
      <c r="F110" s="25"/>
      <c r="G110" s="10"/>
      <c r="H110" s="25"/>
      <c r="I110" s="12" t="str">
        <f aca="false">IF(F110="","",F110+H110)</f>
        <v/>
      </c>
      <c r="J110" s="10"/>
      <c r="K110" s="10"/>
      <c r="L110" s="10" t="str">
        <f aca="false">IF(B110="","",TEXT(B110,"YYYY-MM"))</f>
        <v/>
      </c>
      <c r="M110" s="10" t="str">
        <f aca="false">IF($E110="","",IFERROR(VLOOKUP($E110,Categories!$A:$B,2,FALSE()),""))</f>
        <v/>
      </c>
    </row>
    <row r="111" customFormat="false" ht="15" hidden="false" customHeight="false" outlineLevel="0" collapsed="false">
      <c r="A111" s="10" t="str">
        <f aca="false">IF(B111="","","T"&amp;TEXT(ROW()-4,"0000"))</f>
        <v/>
      </c>
      <c r="B111" s="23"/>
      <c r="C111" s="10"/>
      <c r="D111" s="10"/>
      <c r="E111" s="10"/>
      <c r="F111" s="25"/>
      <c r="G111" s="10"/>
      <c r="H111" s="25"/>
      <c r="I111" s="12" t="str">
        <f aca="false">IF(F111="","",F111+H111)</f>
        <v/>
      </c>
      <c r="J111" s="10"/>
      <c r="K111" s="10"/>
      <c r="L111" s="10" t="str">
        <f aca="false">IF(B111="","",TEXT(B111,"YYYY-MM"))</f>
        <v/>
      </c>
      <c r="M111" s="10" t="str">
        <f aca="false">IF($E111="","",IFERROR(VLOOKUP($E111,Categories!$A:$B,2,FALSE()),""))</f>
        <v/>
      </c>
    </row>
    <row r="112" customFormat="false" ht="15" hidden="false" customHeight="false" outlineLevel="0" collapsed="false">
      <c r="A112" s="10" t="str">
        <f aca="false">IF(B112="","","T"&amp;TEXT(ROW()-4,"0000"))</f>
        <v/>
      </c>
      <c r="B112" s="23"/>
      <c r="C112" s="10"/>
      <c r="D112" s="10"/>
      <c r="E112" s="10"/>
      <c r="F112" s="25"/>
      <c r="G112" s="10"/>
      <c r="H112" s="25"/>
      <c r="I112" s="12" t="str">
        <f aca="false">IF(F112="","",F112+H112)</f>
        <v/>
      </c>
      <c r="J112" s="10"/>
      <c r="K112" s="10"/>
      <c r="L112" s="10" t="str">
        <f aca="false">IF(B112="","",TEXT(B112,"YYYY-MM"))</f>
        <v/>
      </c>
      <c r="M112" s="10" t="str">
        <f aca="false">IF($E112="","",IFERROR(VLOOKUP($E112,Categories!$A:$B,2,FALSE()),""))</f>
        <v/>
      </c>
    </row>
    <row r="113" customFormat="false" ht="15" hidden="false" customHeight="false" outlineLevel="0" collapsed="false">
      <c r="A113" s="10" t="str">
        <f aca="false">IF(B113="","","T"&amp;TEXT(ROW()-4,"0000"))</f>
        <v/>
      </c>
      <c r="B113" s="23"/>
      <c r="C113" s="10"/>
      <c r="D113" s="10"/>
      <c r="E113" s="10"/>
      <c r="F113" s="25"/>
      <c r="G113" s="10"/>
      <c r="H113" s="25"/>
      <c r="I113" s="12" t="str">
        <f aca="false">IF(F113="","",F113+H113)</f>
        <v/>
      </c>
      <c r="J113" s="10"/>
      <c r="K113" s="10"/>
      <c r="L113" s="10" t="str">
        <f aca="false">IF(B113="","",TEXT(B113,"YYYY-MM"))</f>
        <v/>
      </c>
      <c r="M113" s="10" t="str">
        <f aca="false">IF($E113="","",IFERROR(VLOOKUP($E113,Categories!$A:$B,2,FALSE()),""))</f>
        <v/>
      </c>
    </row>
    <row r="114" customFormat="false" ht="15" hidden="false" customHeight="false" outlineLevel="0" collapsed="false">
      <c r="A114" s="10" t="str">
        <f aca="false">IF(B114="","","T"&amp;TEXT(ROW()-4,"0000"))</f>
        <v/>
      </c>
      <c r="B114" s="23"/>
      <c r="C114" s="10"/>
      <c r="D114" s="10"/>
      <c r="E114" s="10"/>
      <c r="F114" s="25"/>
      <c r="G114" s="10"/>
      <c r="H114" s="25"/>
      <c r="I114" s="12" t="str">
        <f aca="false">IF(F114="","",F114+H114)</f>
        <v/>
      </c>
      <c r="J114" s="10"/>
      <c r="K114" s="10"/>
      <c r="L114" s="10" t="str">
        <f aca="false">IF(B114="","",TEXT(B114,"YYYY-MM"))</f>
        <v/>
      </c>
      <c r="M114" s="10" t="str">
        <f aca="false">IF($E114="","",IFERROR(VLOOKUP($E114,Categories!$A:$B,2,FALSE()),""))</f>
        <v/>
      </c>
    </row>
    <row r="115" customFormat="false" ht="15" hidden="false" customHeight="false" outlineLevel="0" collapsed="false">
      <c r="A115" s="10" t="str">
        <f aca="false">IF(B115="","","T"&amp;TEXT(ROW()-4,"0000"))</f>
        <v/>
      </c>
      <c r="B115" s="23"/>
      <c r="C115" s="10"/>
      <c r="D115" s="10"/>
      <c r="E115" s="10"/>
      <c r="F115" s="25"/>
      <c r="G115" s="10"/>
      <c r="H115" s="25"/>
      <c r="I115" s="12" t="str">
        <f aca="false">IF(F115="","",F115+H115)</f>
        <v/>
      </c>
      <c r="J115" s="10"/>
      <c r="K115" s="10"/>
      <c r="L115" s="10" t="str">
        <f aca="false">IF(B115="","",TEXT(B115,"YYYY-MM"))</f>
        <v/>
      </c>
      <c r="M115" s="10" t="str">
        <f aca="false">IF($E115="","",IFERROR(VLOOKUP($E115,Categories!$A:$B,2,FALSE()),""))</f>
        <v/>
      </c>
    </row>
    <row r="116" customFormat="false" ht="15" hidden="false" customHeight="false" outlineLevel="0" collapsed="false">
      <c r="A116" s="10" t="str">
        <f aca="false">IF(B116="","","T"&amp;TEXT(ROW()-4,"0000"))</f>
        <v/>
      </c>
      <c r="B116" s="23"/>
      <c r="C116" s="10"/>
      <c r="D116" s="10"/>
      <c r="E116" s="10"/>
      <c r="F116" s="25"/>
      <c r="G116" s="10"/>
      <c r="H116" s="25"/>
      <c r="I116" s="12" t="str">
        <f aca="false">IF(F116="","",F116+H116)</f>
        <v/>
      </c>
      <c r="J116" s="10"/>
      <c r="K116" s="10"/>
      <c r="L116" s="10" t="str">
        <f aca="false">IF(B116="","",TEXT(B116,"YYYY-MM"))</f>
        <v/>
      </c>
      <c r="M116" s="10" t="str">
        <f aca="false">IF($E116="","",IFERROR(VLOOKUP($E116,Categories!$A:$B,2,FALSE()),""))</f>
        <v/>
      </c>
    </row>
    <row r="117" customFormat="false" ht="15" hidden="false" customHeight="false" outlineLevel="0" collapsed="false">
      <c r="A117" s="10" t="str">
        <f aca="false">IF(B117="","","T"&amp;TEXT(ROW()-4,"0000"))</f>
        <v/>
      </c>
      <c r="B117" s="23"/>
      <c r="C117" s="10"/>
      <c r="D117" s="10"/>
      <c r="E117" s="10"/>
      <c r="F117" s="25"/>
      <c r="G117" s="10"/>
      <c r="H117" s="25"/>
      <c r="I117" s="12" t="str">
        <f aca="false">IF(F117="","",F117+H117)</f>
        <v/>
      </c>
      <c r="J117" s="10"/>
      <c r="K117" s="10"/>
      <c r="L117" s="10" t="str">
        <f aca="false">IF(B117="","",TEXT(B117,"YYYY-MM"))</f>
        <v/>
      </c>
      <c r="M117" s="10" t="str">
        <f aca="false">IF($E117="","",IFERROR(VLOOKUP($E117,Categories!$A:$B,2,FALSE()),""))</f>
        <v/>
      </c>
    </row>
    <row r="118" customFormat="false" ht="15" hidden="false" customHeight="false" outlineLevel="0" collapsed="false">
      <c r="A118" s="10" t="str">
        <f aca="false">IF(B118="","","T"&amp;TEXT(ROW()-4,"0000"))</f>
        <v/>
      </c>
      <c r="B118" s="23"/>
      <c r="C118" s="10"/>
      <c r="D118" s="10"/>
      <c r="E118" s="10"/>
      <c r="F118" s="25"/>
      <c r="G118" s="10"/>
      <c r="H118" s="25"/>
      <c r="I118" s="12" t="str">
        <f aca="false">IF(F118="","",F118+H118)</f>
        <v/>
      </c>
      <c r="J118" s="10"/>
      <c r="K118" s="10"/>
      <c r="L118" s="10" t="str">
        <f aca="false">IF(B118="","",TEXT(B118,"YYYY-MM"))</f>
        <v/>
      </c>
      <c r="M118" s="10" t="str">
        <f aca="false">IF($E118="","",IFERROR(VLOOKUP($E118,Categories!$A:$B,2,FALSE()),""))</f>
        <v/>
      </c>
    </row>
    <row r="119" customFormat="false" ht="15" hidden="false" customHeight="false" outlineLevel="0" collapsed="false">
      <c r="A119" s="10" t="str">
        <f aca="false">IF(B119="","","T"&amp;TEXT(ROW()-4,"0000"))</f>
        <v/>
      </c>
      <c r="B119" s="23"/>
      <c r="C119" s="10"/>
      <c r="D119" s="10"/>
      <c r="E119" s="10"/>
      <c r="F119" s="25"/>
      <c r="G119" s="10"/>
      <c r="H119" s="25"/>
      <c r="I119" s="12" t="str">
        <f aca="false">IF(F119="","",F119+H119)</f>
        <v/>
      </c>
      <c r="J119" s="10"/>
      <c r="K119" s="10"/>
      <c r="L119" s="10" t="str">
        <f aca="false">IF(B119="","",TEXT(B119,"YYYY-MM"))</f>
        <v/>
      </c>
      <c r="M119" s="10" t="str">
        <f aca="false">IF($E119="","",IFERROR(VLOOKUP($E119,Categories!$A:$B,2,FALSE()),""))</f>
        <v/>
      </c>
    </row>
    <row r="120" customFormat="false" ht="15" hidden="false" customHeight="false" outlineLevel="0" collapsed="false">
      <c r="A120" s="10" t="str">
        <f aca="false">IF(B120="","","T"&amp;TEXT(ROW()-4,"0000"))</f>
        <v/>
      </c>
      <c r="B120" s="23"/>
      <c r="C120" s="10"/>
      <c r="D120" s="10"/>
      <c r="E120" s="10"/>
      <c r="F120" s="25"/>
      <c r="G120" s="10"/>
      <c r="H120" s="25"/>
      <c r="I120" s="12" t="str">
        <f aca="false">IF(F120="","",F120+H120)</f>
        <v/>
      </c>
      <c r="J120" s="10"/>
      <c r="K120" s="10"/>
      <c r="L120" s="10" t="str">
        <f aca="false">IF(B120="","",TEXT(B120,"YYYY-MM"))</f>
        <v/>
      </c>
      <c r="M120" s="10" t="str">
        <f aca="false">IF($E120="","",IFERROR(VLOOKUP($E120,Categories!$A:$B,2,FALSE()),""))</f>
        <v/>
      </c>
    </row>
    <row r="121" customFormat="false" ht="15" hidden="false" customHeight="false" outlineLevel="0" collapsed="false">
      <c r="A121" s="10" t="str">
        <f aca="false">IF(B121="","","T"&amp;TEXT(ROW()-4,"0000"))</f>
        <v/>
      </c>
      <c r="B121" s="23"/>
      <c r="C121" s="10"/>
      <c r="D121" s="10"/>
      <c r="E121" s="10"/>
      <c r="F121" s="25"/>
      <c r="G121" s="10"/>
      <c r="H121" s="25"/>
      <c r="I121" s="12" t="str">
        <f aca="false">IF(F121="","",F121+H121)</f>
        <v/>
      </c>
      <c r="J121" s="10"/>
      <c r="K121" s="10"/>
      <c r="L121" s="10" t="str">
        <f aca="false">IF(B121="","",TEXT(B121,"YYYY-MM"))</f>
        <v/>
      </c>
      <c r="M121" s="10" t="str">
        <f aca="false">IF($E121="","",IFERROR(VLOOKUP($E121,Categories!$A:$B,2,FALSE()),""))</f>
        <v/>
      </c>
    </row>
    <row r="122" customFormat="false" ht="15" hidden="false" customHeight="false" outlineLevel="0" collapsed="false">
      <c r="A122" s="10" t="str">
        <f aca="false">IF(B122="","","T"&amp;TEXT(ROW()-4,"0000"))</f>
        <v/>
      </c>
      <c r="B122" s="23"/>
      <c r="C122" s="10"/>
      <c r="D122" s="10"/>
      <c r="E122" s="10"/>
      <c r="F122" s="25"/>
      <c r="G122" s="10"/>
      <c r="H122" s="25"/>
      <c r="I122" s="12" t="str">
        <f aca="false">IF(F122="","",F122+H122)</f>
        <v/>
      </c>
      <c r="J122" s="10"/>
      <c r="K122" s="10"/>
      <c r="L122" s="10" t="str">
        <f aca="false">IF(B122="","",TEXT(B122,"YYYY-MM"))</f>
        <v/>
      </c>
      <c r="M122" s="10" t="str">
        <f aca="false">IF($E122="","",IFERROR(VLOOKUP($E122,Categories!$A:$B,2,FALSE()),""))</f>
        <v/>
      </c>
    </row>
    <row r="123" customFormat="false" ht="15" hidden="false" customHeight="false" outlineLevel="0" collapsed="false">
      <c r="A123" s="10" t="str">
        <f aca="false">IF(B123="","","T"&amp;TEXT(ROW()-4,"0000"))</f>
        <v/>
      </c>
      <c r="B123" s="23"/>
      <c r="C123" s="10"/>
      <c r="D123" s="10"/>
      <c r="E123" s="10"/>
      <c r="F123" s="25"/>
      <c r="G123" s="10"/>
      <c r="H123" s="25"/>
      <c r="I123" s="12" t="str">
        <f aca="false">IF(F123="","",F123+H123)</f>
        <v/>
      </c>
      <c r="J123" s="10"/>
      <c r="K123" s="10"/>
      <c r="L123" s="10" t="str">
        <f aca="false">IF(B123="","",TEXT(B123,"YYYY-MM"))</f>
        <v/>
      </c>
      <c r="M123" s="10" t="str">
        <f aca="false">IF($E123="","",IFERROR(VLOOKUP($E123,Categories!$A:$B,2,FALSE()),""))</f>
        <v/>
      </c>
    </row>
    <row r="124" customFormat="false" ht="15" hidden="false" customHeight="false" outlineLevel="0" collapsed="false">
      <c r="A124" s="10" t="str">
        <f aca="false">IF(B124="","","T"&amp;TEXT(ROW()-4,"0000"))</f>
        <v/>
      </c>
      <c r="B124" s="23"/>
      <c r="C124" s="10"/>
      <c r="D124" s="10"/>
      <c r="E124" s="10"/>
      <c r="F124" s="25"/>
      <c r="G124" s="10"/>
      <c r="H124" s="25"/>
      <c r="I124" s="12" t="str">
        <f aca="false">IF(F124="","",F124+H124)</f>
        <v/>
      </c>
      <c r="J124" s="10"/>
      <c r="K124" s="10"/>
      <c r="L124" s="10" t="str">
        <f aca="false">IF(B124="","",TEXT(B124,"YYYY-MM"))</f>
        <v/>
      </c>
      <c r="M124" s="10" t="str">
        <f aca="false">IF($E124="","",IFERROR(VLOOKUP($E124,Categories!$A:$B,2,FALSE()),""))</f>
        <v/>
      </c>
    </row>
    <row r="125" customFormat="false" ht="15" hidden="false" customHeight="false" outlineLevel="0" collapsed="false">
      <c r="A125" s="10" t="str">
        <f aca="false">IF(B125="","","T"&amp;TEXT(ROW()-4,"0000"))</f>
        <v/>
      </c>
      <c r="B125" s="23"/>
      <c r="C125" s="10"/>
      <c r="D125" s="10"/>
      <c r="E125" s="10"/>
      <c r="F125" s="25"/>
      <c r="G125" s="10"/>
      <c r="H125" s="25"/>
      <c r="I125" s="12" t="str">
        <f aca="false">IF(F125="","",F125+H125)</f>
        <v/>
      </c>
      <c r="J125" s="10"/>
      <c r="K125" s="10"/>
      <c r="L125" s="10" t="str">
        <f aca="false">IF(B125="","",TEXT(B125,"YYYY-MM"))</f>
        <v/>
      </c>
      <c r="M125" s="10" t="str">
        <f aca="false">IF($E125="","",IFERROR(VLOOKUP($E125,Categories!$A:$B,2,FALSE()),""))</f>
        <v/>
      </c>
    </row>
    <row r="126" customFormat="false" ht="15" hidden="false" customHeight="false" outlineLevel="0" collapsed="false">
      <c r="A126" s="10" t="str">
        <f aca="false">IF(B126="","","T"&amp;TEXT(ROW()-4,"0000"))</f>
        <v/>
      </c>
      <c r="B126" s="23"/>
      <c r="C126" s="10"/>
      <c r="D126" s="10"/>
      <c r="E126" s="10"/>
      <c r="F126" s="25"/>
      <c r="G126" s="10"/>
      <c r="H126" s="25"/>
      <c r="I126" s="12" t="str">
        <f aca="false">IF(F126="","",F126+H126)</f>
        <v/>
      </c>
      <c r="J126" s="10"/>
      <c r="K126" s="10"/>
      <c r="L126" s="10" t="str">
        <f aca="false">IF(B126="","",TEXT(B126,"YYYY-MM"))</f>
        <v/>
      </c>
      <c r="M126" s="10" t="str">
        <f aca="false">IF($E126="","",IFERROR(VLOOKUP($E126,Categories!$A:$B,2,FALSE()),""))</f>
        <v/>
      </c>
    </row>
    <row r="127" customFormat="false" ht="15" hidden="false" customHeight="false" outlineLevel="0" collapsed="false">
      <c r="A127" s="10" t="str">
        <f aca="false">IF(B127="","","T"&amp;TEXT(ROW()-4,"0000"))</f>
        <v/>
      </c>
      <c r="B127" s="23"/>
      <c r="C127" s="10"/>
      <c r="D127" s="10"/>
      <c r="E127" s="10"/>
      <c r="F127" s="25"/>
      <c r="G127" s="10"/>
      <c r="H127" s="25"/>
      <c r="I127" s="12" t="str">
        <f aca="false">IF(F127="","",F127+H127)</f>
        <v/>
      </c>
      <c r="J127" s="10"/>
      <c r="K127" s="10"/>
      <c r="L127" s="10" t="str">
        <f aca="false">IF(B127="","",TEXT(B127,"YYYY-MM"))</f>
        <v/>
      </c>
      <c r="M127" s="10" t="str">
        <f aca="false">IF($E127="","",IFERROR(VLOOKUP($E127,Categories!$A:$B,2,FALSE()),""))</f>
        <v/>
      </c>
    </row>
    <row r="128" customFormat="false" ht="15" hidden="false" customHeight="false" outlineLevel="0" collapsed="false">
      <c r="A128" s="10" t="str">
        <f aca="false">IF(B128="","","T"&amp;TEXT(ROW()-4,"0000"))</f>
        <v/>
      </c>
      <c r="B128" s="23"/>
      <c r="C128" s="10"/>
      <c r="D128" s="10"/>
      <c r="E128" s="10"/>
      <c r="F128" s="25"/>
      <c r="G128" s="10"/>
      <c r="H128" s="25"/>
      <c r="I128" s="12" t="str">
        <f aca="false">IF(F128="","",F128+H128)</f>
        <v/>
      </c>
      <c r="J128" s="10"/>
      <c r="K128" s="10"/>
      <c r="L128" s="10" t="str">
        <f aca="false">IF(B128="","",TEXT(B128,"YYYY-MM"))</f>
        <v/>
      </c>
      <c r="M128" s="10" t="str">
        <f aca="false">IF($E128="","",IFERROR(VLOOKUP($E128,Categories!$A:$B,2,FALSE()),""))</f>
        <v/>
      </c>
    </row>
    <row r="129" customFormat="false" ht="15" hidden="false" customHeight="false" outlineLevel="0" collapsed="false">
      <c r="A129" s="10" t="str">
        <f aca="false">IF(B129="","","T"&amp;TEXT(ROW()-4,"0000"))</f>
        <v/>
      </c>
      <c r="B129" s="23"/>
      <c r="C129" s="10"/>
      <c r="D129" s="10"/>
      <c r="E129" s="10"/>
      <c r="F129" s="25"/>
      <c r="G129" s="10"/>
      <c r="H129" s="25"/>
      <c r="I129" s="12" t="str">
        <f aca="false">IF(F129="","",F129+H129)</f>
        <v/>
      </c>
      <c r="J129" s="10"/>
      <c r="K129" s="10"/>
      <c r="L129" s="10" t="str">
        <f aca="false">IF(B129="","",TEXT(B129,"YYYY-MM"))</f>
        <v/>
      </c>
      <c r="M129" s="10" t="str">
        <f aca="false">IF($E129="","",IFERROR(VLOOKUP($E129,Categories!$A:$B,2,FALSE()),""))</f>
        <v/>
      </c>
    </row>
    <row r="130" customFormat="false" ht="15" hidden="false" customHeight="false" outlineLevel="0" collapsed="false">
      <c r="A130" s="10" t="str">
        <f aca="false">IF(B130="","","T"&amp;TEXT(ROW()-4,"0000"))</f>
        <v/>
      </c>
      <c r="B130" s="23"/>
      <c r="C130" s="10"/>
      <c r="D130" s="10"/>
      <c r="E130" s="10"/>
      <c r="F130" s="25"/>
      <c r="G130" s="10"/>
      <c r="H130" s="25"/>
      <c r="I130" s="12" t="str">
        <f aca="false">IF(F130="","",F130+H130)</f>
        <v/>
      </c>
      <c r="J130" s="10"/>
      <c r="K130" s="10"/>
      <c r="L130" s="10" t="str">
        <f aca="false">IF(B130="","",TEXT(B130,"YYYY-MM"))</f>
        <v/>
      </c>
      <c r="M130" s="10" t="str">
        <f aca="false">IF($E130="","",IFERROR(VLOOKUP($E130,Categories!$A:$B,2,FALSE()),""))</f>
        <v/>
      </c>
    </row>
    <row r="131" customFormat="false" ht="15" hidden="false" customHeight="false" outlineLevel="0" collapsed="false">
      <c r="A131" s="10" t="str">
        <f aca="false">IF(B131="","","T"&amp;TEXT(ROW()-4,"0000"))</f>
        <v/>
      </c>
      <c r="B131" s="23"/>
      <c r="C131" s="10"/>
      <c r="D131" s="10"/>
      <c r="E131" s="10"/>
      <c r="F131" s="25"/>
      <c r="G131" s="10"/>
      <c r="H131" s="25"/>
      <c r="I131" s="12" t="str">
        <f aca="false">IF(F131="","",F131+H131)</f>
        <v/>
      </c>
      <c r="J131" s="10"/>
      <c r="K131" s="10"/>
      <c r="L131" s="10" t="str">
        <f aca="false">IF(B131="","",TEXT(B131,"YYYY-MM"))</f>
        <v/>
      </c>
      <c r="M131" s="10" t="str">
        <f aca="false">IF($E131="","",IFERROR(VLOOKUP($E131,Categories!$A:$B,2,FALSE()),""))</f>
        <v/>
      </c>
    </row>
    <row r="132" customFormat="false" ht="15" hidden="false" customHeight="false" outlineLevel="0" collapsed="false">
      <c r="A132" s="10" t="str">
        <f aca="false">IF(B132="","","T"&amp;TEXT(ROW()-4,"0000"))</f>
        <v/>
      </c>
      <c r="B132" s="23"/>
      <c r="C132" s="10"/>
      <c r="D132" s="10"/>
      <c r="E132" s="10"/>
      <c r="F132" s="25"/>
      <c r="G132" s="10"/>
      <c r="H132" s="25"/>
      <c r="I132" s="12" t="str">
        <f aca="false">IF(F132="","",F132+H132)</f>
        <v/>
      </c>
      <c r="J132" s="10"/>
      <c r="K132" s="10"/>
      <c r="L132" s="10" t="str">
        <f aca="false">IF(B132="","",TEXT(B132,"YYYY-MM"))</f>
        <v/>
      </c>
      <c r="M132" s="10" t="str">
        <f aca="false">IF($E132="","",IFERROR(VLOOKUP($E132,Categories!$A:$B,2,FALSE()),""))</f>
        <v/>
      </c>
    </row>
    <row r="133" customFormat="false" ht="15" hidden="false" customHeight="false" outlineLevel="0" collapsed="false">
      <c r="A133" s="10" t="str">
        <f aca="false">IF(B133="","","T"&amp;TEXT(ROW()-4,"0000"))</f>
        <v/>
      </c>
      <c r="B133" s="23"/>
      <c r="C133" s="10"/>
      <c r="D133" s="10"/>
      <c r="E133" s="10"/>
      <c r="F133" s="25"/>
      <c r="G133" s="10"/>
      <c r="H133" s="25"/>
      <c r="I133" s="12" t="str">
        <f aca="false">IF(F133="","",F133+H133)</f>
        <v/>
      </c>
      <c r="J133" s="10"/>
      <c r="K133" s="10"/>
      <c r="L133" s="10" t="str">
        <f aca="false">IF(B133="","",TEXT(B133,"YYYY-MM"))</f>
        <v/>
      </c>
      <c r="M133" s="10" t="str">
        <f aca="false">IF($E133="","",IFERROR(VLOOKUP($E133,Categories!$A:$B,2,FALSE()),""))</f>
        <v/>
      </c>
    </row>
    <row r="134" customFormat="false" ht="15" hidden="false" customHeight="false" outlineLevel="0" collapsed="false">
      <c r="A134" s="10" t="str">
        <f aca="false">IF(B134="","","T"&amp;TEXT(ROW()-4,"0000"))</f>
        <v/>
      </c>
      <c r="B134" s="23"/>
      <c r="C134" s="10"/>
      <c r="D134" s="10"/>
      <c r="E134" s="10"/>
      <c r="F134" s="25"/>
      <c r="G134" s="10"/>
      <c r="H134" s="25"/>
      <c r="I134" s="12" t="str">
        <f aca="false">IF(F134="","",F134+H134)</f>
        <v/>
      </c>
      <c r="J134" s="10"/>
      <c r="K134" s="10"/>
      <c r="L134" s="10" t="str">
        <f aca="false">IF(B134="","",TEXT(B134,"YYYY-MM"))</f>
        <v/>
      </c>
      <c r="M134" s="10" t="str">
        <f aca="false">IF($E134="","",IFERROR(VLOOKUP($E134,Categories!$A:$B,2,FALSE()),""))</f>
        <v/>
      </c>
    </row>
    <row r="135" customFormat="false" ht="15" hidden="false" customHeight="false" outlineLevel="0" collapsed="false">
      <c r="A135" s="10" t="str">
        <f aca="false">IF(B135="","","T"&amp;TEXT(ROW()-4,"0000"))</f>
        <v/>
      </c>
      <c r="B135" s="23"/>
      <c r="C135" s="10"/>
      <c r="D135" s="10"/>
      <c r="E135" s="10"/>
      <c r="F135" s="25"/>
      <c r="G135" s="10"/>
      <c r="H135" s="25"/>
      <c r="I135" s="12" t="str">
        <f aca="false">IF(F135="","",F135+H135)</f>
        <v/>
      </c>
      <c r="J135" s="10"/>
      <c r="K135" s="10"/>
      <c r="L135" s="10" t="str">
        <f aca="false">IF(B135="","",TEXT(B135,"YYYY-MM"))</f>
        <v/>
      </c>
      <c r="M135" s="10" t="str">
        <f aca="false">IF($E135="","",IFERROR(VLOOKUP($E135,Categories!$A:$B,2,FALSE()),""))</f>
        <v/>
      </c>
    </row>
    <row r="136" customFormat="false" ht="15" hidden="false" customHeight="false" outlineLevel="0" collapsed="false">
      <c r="A136" s="10" t="str">
        <f aca="false">IF(B136="","","T"&amp;TEXT(ROW()-4,"0000"))</f>
        <v/>
      </c>
      <c r="B136" s="23"/>
      <c r="C136" s="10"/>
      <c r="D136" s="10"/>
      <c r="E136" s="10"/>
      <c r="F136" s="25"/>
      <c r="G136" s="10"/>
      <c r="H136" s="25"/>
      <c r="I136" s="12" t="str">
        <f aca="false">IF(F136="","",F136+H136)</f>
        <v/>
      </c>
      <c r="J136" s="10"/>
      <c r="K136" s="10"/>
      <c r="L136" s="10" t="str">
        <f aca="false">IF(B136="","",TEXT(B136,"YYYY-MM"))</f>
        <v/>
      </c>
      <c r="M136" s="10" t="str">
        <f aca="false">IF($E136="","",IFERROR(VLOOKUP($E136,Categories!$A:$B,2,FALSE()),""))</f>
        <v/>
      </c>
    </row>
    <row r="137" customFormat="false" ht="15" hidden="false" customHeight="false" outlineLevel="0" collapsed="false">
      <c r="A137" s="10" t="str">
        <f aca="false">IF(B137="","","T"&amp;TEXT(ROW()-4,"0000"))</f>
        <v/>
      </c>
      <c r="B137" s="23"/>
      <c r="C137" s="10"/>
      <c r="D137" s="10"/>
      <c r="E137" s="10"/>
      <c r="F137" s="25"/>
      <c r="G137" s="10"/>
      <c r="H137" s="25"/>
      <c r="I137" s="12" t="str">
        <f aca="false">IF(F137="","",F137+H137)</f>
        <v/>
      </c>
      <c r="J137" s="10"/>
      <c r="K137" s="10"/>
      <c r="L137" s="10" t="str">
        <f aca="false">IF(B137="","",TEXT(B137,"YYYY-MM"))</f>
        <v/>
      </c>
      <c r="M137" s="10" t="str">
        <f aca="false">IF($E137="","",IFERROR(VLOOKUP($E137,Categories!$A:$B,2,FALSE()),""))</f>
        <v/>
      </c>
    </row>
    <row r="138" customFormat="false" ht="15" hidden="false" customHeight="false" outlineLevel="0" collapsed="false">
      <c r="A138" s="10" t="str">
        <f aca="false">IF(B138="","","T"&amp;TEXT(ROW()-4,"0000"))</f>
        <v/>
      </c>
      <c r="B138" s="23"/>
      <c r="C138" s="10"/>
      <c r="D138" s="10"/>
      <c r="E138" s="10"/>
      <c r="F138" s="25"/>
      <c r="G138" s="10"/>
      <c r="H138" s="25"/>
      <c r="I138" s="12" t="str">
        <f aca="false">IF(F138="","",F138+H138)</f>
        <v/>
      </c>
      <c r="J138" s="10"/>
      <c r="K138" s="10"/>
      <c r="L138" s="10" t="str">
        <f aca="false">IF(B138="","",TEXT(B138,"YYYY-MM"))</f>
        <v/>
      </c>
      <c r="M138" s="10" t="str">
        <f aca="false">IF($E138="","",IFERROR(VLOOKUP($E138,Categories!$A:$B,2,FALSE()),""))</f>
        <v/>
      </c>
    </row>
    <row r="139" customFormat="false" ht="15" hidden="false" customHeight="false" outlineLevel="0" collapsed="false">
      <c r="A139" s="10" t="str">
        <f aca="false">IF(B139="","","T"&amp;TEXT(ROW()-4,"0000"))</f>
        <v/>
      </c>
      <c r="B139" s="23"/>
      <c r="C139" s="10"/>
      <c r="D139" s="10"/>
      <c r="E139" s="10"/>
      <c r="F139" s="25"/>
      <c r="G139" s="10"/>
      <c r="H139" s="25"/>
      <c r="I139" s="12" t="str">
        <f aca="false">IF(F139="","",F139+H139)</f>
        <v/>
      </c>
      <c r="J139" s="10"/>
      <c r="K139" s="10"/>
      <c r="L139" s="10" t="str">
        <f aca="false">IF(B139="","",TEXT(B139,"YYYY-MM"))</f>
        <v/>
      </c>
      <c r="M139" s="10" t="str">
        <f aca="false">IF($E139="","",IFERROR(VLOOKUP($E139,Categories!$A:$B,2,FALSE()),""))</f>
        <v/>
      </c>
    </row>
    <row r="140" customFormat="false" ht="15" hidden="false" customHeight="false" outlineLevel="0" collapsed="false">
      <c r="A140" s="10" t="str">
        <f aca="false">IF(B140="","","T"&amp;TEXT(ROW()-4,"0000"))</f>
        <v/>
      </c>
      <c r="B140" s="23"/>
      <c r="C140" s="10"/>
      <c r="D140" s="10"/>
      <c r="E140" s="10"/>
      <c r="F140" s="25"/>
      <c r="G140" s="10"/>
      <c r="H140" s="25"/>
      <c r="I140" s="12" t="str">
        <f aca="false">IF(F140="","",F140+H140)</f>
        <v/>
      </c>
      <c r="J140" s="10"/>
      <c r="K140" s="10"/>
      <c r="L140" s="10" t="str">
        <f aca="false">IF(B140="","",TEXT(B140,"YYYY-MM"))</f>
        <v/>
      </c>
      <c r="M140" s="10" t="str">
        <f aca="false">IF($E140="","",IFERROR(VLOOKUP($E140,Categories!$A:$B,2,FALSE()),""))</f>
        <v/>
      </c>
    </row>
    <row r="141" customFormat="false" ht="15" hidden="false" customHeight="false" outlineLevel="0" collapsed="false">
      <c r="A141" s="10" t="str">
        <f aca="false">IF(B141="","","T"&amp;TEXT(ROW()-4,"0000"))</f>
        <v/>
      </c>
      <c r="B141" s="23"/>
      <c r="C141" s="10"/>
      <c r="D141" s="10"/>
      <c r="E141" s="10"/>
      <c r="F141" s="25"/>
      <c r="G141" s="10"/>
      <c r="H141" s="25"/>
      <c r="I141" s="12" t="str">
        <f aca="false">IF(F141="","",F141+H141)</f>
        <v/>
      </c>
      <c r="J141" s="10"/>
      <c r="K141" s="10"/>
      <c r="L141" s="10" t="str">
        <f aca="false">IF(B141="","",TEXT(B141,"YYYY-MM"))</f>
        <v/>
      </c>
      <c r="M141" s="10" t="str">
        <f aca="false">IF($E141="","",IFERROR(VLOOKUP($E141,Categories!$A:$B,2,FALSE()),""))</f>
        <v/>
      </c>
    </row>
    <row r="142" customFormat="false" ht="15" hidden="false" customHeight="false" outlineLevel="0" collapsed="false">
      <c r="A142" s="10" t="str">
        <f aca="false">IF(B142="","","T"&amp;TEXT(ROW()-4,"0000"))</f>
        <v/>
      </c>
      <c r="B142" s="23"/>
      <c r="C142" s="10"/>
      <c r="D142" s="10"/>
      <c r="E142" s="10"/>
      <c r="F142" s="25"/>
      <c r="G142" s="10"/>
      <c r="H142" s="25"/>
      <c r="I142" s="12" t="str">
        <f aca="false">IF(F142="","",F142+H142)</f>
        <v/>
      </c>
      <c r="J142" s="10"/>
      <c r="K142" s="10"/>
      <c r="L142" s="10" t="str">
        <f aca="false">IF(B142="","",TEXT(B142,"YYYY-MM"))</f>
        <v/>
      </c>
      <c r="M142" s="10" t="str">
        <f aca="false">IF($E142="","",IFERROR(VLOOKUP($E142,Categories!$A:$B,2,FALSE()),""))</f>
        <v/>
      </c>
    </row>
    <row r="143" customFormat="false" ht="15" hidden="false" customHeight="false" outlineLevel="0" collapsed="false">
      <c r="A143" s="10" t="str">
        <f aca="false">IF(B143="","","T"&amp;TEXT(ROW()-4,"0000"))</f>
        <v/>
      </c>
      <c r="B143" s="23"/>
      <c r="C143" s="10"/>
      <c r="D143" s="10"/>
      <c r="E143" s="10"/>
      <c r="F143" s="25"/>
      <c r="G143" s="10"/>
      <c r="H143" s="25"/>
      <c r="I143" s="12" t="str">
        <f aca="false">IF(F143="","",F143+H143)</f>
        <v/>
      </c>
      <c r="J143" s="10"/>
      <c r="K143" s="10"/>
      <c r="L143" s="10" t="str">
        <f aca="false">IF(B143="","",TEXT(B143,"YYYY-MM"))</f>
        <v/>
      </c>
      <c r="M143" s="10" t="str">
        <f aca="false">IF($E143="","",IFERROR(VLOOKUP($E143,Categories!$A:$B,2,FALSE()),""))</f>
        <v/>
      </c>
    </row>
    <row r="144" customFormat="false" ht="15" hidden="false" customHeight="false" outlineLevel="0" collapsed="false">
      <c r="A144" s="10" t="str">
        <f aca="false">IF(B144="","","T"&amp;TEXT(ROW()-4,"0000"))</f>
        <v/>
      </c>
      <c r="B144" s="23"/>
      <c r="C144" s="10"/>
      <c r="D144" s="10"/>
      <c r="E144" s="10"/>
      <c r="F144" s="25"/>
      <c r="G144" s="10"/>
      <c r="H144" s="25"/>
      <c r="I144" s="12" t="str">
        <f aca="false">IF(F144="","",F144+H144)</f>
        <v/>
      </c>
      <c r="J144" s="10"/>
      <c r="K144" s="10"/>
      <c r="L144" s="10" t="str">
        <f aca="false">IF(B144="","",TEXT(B144,"YYYY-MM"))</f>
        <v/>
      </c>
      <c r="M144" s="10" t="str">
        <f aca="false">IF($E144="","",IFERROR(VLOOKUP($E144,Categories!$A:$B,2,FALSE()),""))</f>
        <v/>
      </c>
    </row>
    <row r="145" customFormat="false" ht="15" hidden="false" customHeight="false" outlineLevel="0" collapsed="false">
      <c r="A145" s="10" t="str">
        <f aca="false">IF(B145="","","T"&amp;TEXT(ROW()-4,"0000"))</f>
        <v/>
      </c>
      <c r="B145" s="23"/>
      <c r="C145" s="10"/>
      <c r="D145" s="10"/>
      <c r="E145" s="10"/>
      <c r="F145" s="25"/>
      <c r="G145" s="10"/>
      <c r="H145" s="25"/>
      <c r="I145" s="12" t="str">
        <f aca="false">IF(F145="","",F145+H145)</f>
        <v/>
      </c>
      <c r="J145" s="10"/>
      <c r="K145" s="10"/>
      <c r="L145" s="10" t="str">
        <f aca="false">IF(B145="","",TEXT(B145,"YYYY-MM"))</f>
        <v/>
      </c>
      <c r="M145" s="10" t="str">
        <f aca="false">IF($E145="","",IFERROR(VLOOKUP($E145,Categories!$A:$B,2,FALSE()),""))</f>
        <v/>
      </c>
    </row>
    <row r="146" customFormat="false" ht="15" hidden="false" customHeight="false" outlineLevel="0" collapsed="false">
      <c r="A146" s="10" t="str">
        <f aca="false">IF(B146="","","T"&amp;TEXT(ROW()-4,"0000"))</f>
        <v/>
      </c>
      <c r="B146" s="23"/>
      <c r="C146" s="10"/>
      <c r="D146" s="10"/>
      <c r="E146" s="10"/>
      <c r="F146" s="25"/>
      <c r="G146" s="10"/>
      <c r="H146" s="25"/>
      <c r="I146" s="12" t="str">
        <f aca="false">IF(F146="","",F146+H146)</f>
        <v/>
      </c>
      <c r="J146" s="10"/>
      <c r="K146" s="10"/>
      <c r="L146" s="10" t="str">
        <f aca="false">IF(B146="","",TEXT(B146,"YYYY-MM"))</f>
        <v/>
      </c>
      <c r="M146" s="10" t="str">
        <f aca="false">IF($E146="","",IFERROR(VLOOKUP($E146,Categories!$A:$B,2,FALSE()),""))</f>
        <v/>
      </c>
    </row>
    <row r="147" customFormat="false" ht="15" hidden="false" customHeight="false" outlineLevel="0" collapsed="false">
      <c r="A147" s="10" t="str">
        <f aca="false">IF(B147="","","T"&amp;TEXT(ROW()-4,"0000"))</f>
        <v/>
      </c>
      <c r="B147" s="23"/>
      <c r="C147" s="10"/>
      <c r="D147" s="10"/>
      <c r="E147" s="10"/>
      <c r="F147" s="25"/>
      <c r="G147" s="10"/>
      <c r="H147" s="25"/>
      <c r="I147" s="12" t="str">
        <f aca="false">IF(F147="","",F147+H147)</f>
        <v/>
      </c>
      <c r="J147" s="10"/>
      <c r="K147" s="10"/>
      <c r="L147" s="10" t="str">
        <f aca="false">IF(B147="","",TEXT(B147,"YYYY-MM"))</f>
        <v/>
      </c>
      <c r="M147" s="10" t="str">
        <f aca="false">IF($E147="","",IFERROR(VLOOKUP($E147,Categories!$A:$B,2,FALSE()),""))</f>
        <v/>
      </c>
    </row>
    <row r="148" customFormat="false" ht="15" hidden="false" customHeight="false" outlineLevel="0" collapsed="false">
      <c r="A148" s="10" t="str">
        <f aca="false">IF(B148="","","T"&amp;TEXT(ROW()-4,"0000"))</f>
        <v/>
      </c>
      <c r="B148" s="23"/>
      <c r="C148" s="10"/>
      <c r="D148" s="10"/>
      <c r="E148" s="10"/>
      <c r="F148" s="25"/>
      <c r="G148" s="10"/>
      <c r="H148" s="25"/>
      <c r="I148" s="12" t="str">
        <f aca="false">IF(F148="","",F148+H148)</f>
        <v/>
      </c>
      <c r="J148" s="10"/>
      <c r="K148" s="10"/>
      <c r="L148" s="10" t="str">
        <f aca="false">IF(B148="","",TEXT(B148,"YYYY-MM"))</f>
        <v/>
      </c>
      <c r="M148" s="10" t="str">
        <f aca="false">IF($E148="","",IFERROR(VLOOKUP($E148,Categories!$A:$B,2,FALSE()),""))</f>
        <v/>
      </c>
    </row>
    <row r="149" customFormat="false" ht="15" hidden="false" customHeight="false" outlineLevel="0" collapsed="false">
      <c r="A149" s="10" t="str">
        <f aca="false">IF(B149="","","T"&amp;TEXT(ROW()-4,"0000"))</f>
        <v/>
      </c>
      <c r="B149" s="23"/>
      <c r="C149" s="10"/>
      <c r="D149" s="10"/>
      <c r="E149" s="10"/>
      <c r="F149" s="25"/>
      <c r="G149" s="10"/>
      <c r="H149" s="25"/>
      <c r="I149" s="12" t="str">
        <f aca="false">IF(F149="","",F149+H149)</f>
        <v/>
      </c>
      <c r="J149" s="10"/>
      <c r="K149" s="10"/>
      <c r="L149" s="10" t="str">
        <f aca="false">IF(B149="","",TEXT(B149,"YYYY-MM"))</f>
        <v/>
      </c>
      <c r="M149" s="10" t="str">
        <f aca="false">IF($E149="","",IFERROR(VLOOKUP($E149,Categories!$A:$B,2,FALSE()),""))</f>
        <v/>
      </c>
    </row>
    <row r="150" customFormat="false" ht="15" hidden="false" customHeight="false" outlineLevel="0" collapsed="false">
      <c r="A150" s="10" t="str">
        <f aca="false">IF(B150="","","T"&amp;TEXT(ROW()-4,"0000"))</f>
        <v/>
      </c>
      <c r="B150" s="23"/>
      <c r="C150" s="10"/>
      <c r="D150" s="10"/>
      <c r="E150" s="10"/>
      <c r="F150" s="25"/>
      <c r="G150" s="10"/>
      <c r="H150" s="25"/>
      <c r="I150" s="12" t="str">
        <f aca="false">IF(F150="","",F150+H150)</f>
        <v/>
      </c>
      <c r="J150" s="10"/>
      <c r="K150" s="10"/>
      <c r="L150" s="10" t="str">
        <f aca="false">IF(B150="","",TEXT(B150,"YYYY-MM"))</f>
        <v/>
      </c>
      <c r="M150" s="10" t="str">
        <f aca="false">IF($E150="","",IFERROR(VLOOKUP($E150,Categories!$A:$B,2,FALSE()),""))</f>
        <v/>
      </c>
    </row>
    <row r="151" customFormat="false" ht="15" hidden="false" customHeight="false" outlineLevel="0" collapsed="false">
      <c r="A151" s="10" t="str">
        <f aca="false">IF(B151="","","T"&amp;TEXT(ROW()-4,"0000"))</f>
        <v/>
      </c>
      <c r="B151" s="23"/>
      <c r="C151" s="10"/>
      <c r="D151" s="10"/>
      <c r="E151" s="10"/>
      <c r="F151" s="25"/>
      <c r="G151" s="10"/>
      <c r="H151" s="25"/>
      <c r="I151" s="12" t="str">
        <f aca="false">IF(F151="","",F151+H151)</f>
        <v/>
      </c>
      <c r="J151" s="10"/>
      <c r="K151" s="10"/>
      <c r="L151" s="10" t="str">
        <f aca="false">IF(B151="","",TEXT(B151,"YYYY-MM"))</f>
        <v/>
      </c>
      <c r="M151" s="10" t="str">
        <f aca="false">IF($E151="","",IFERROR(VLOOKUP($E151,Categories!$A:$B,2,FALSE()),""))</f>
        <v/>
      </c>
    </row>
    <row r="152" customFormat="false" ht="15" hidden="false" customHeight="false" outlineLevel="0" collapsed="false">
      <c r="A152" s="10" t="str">
        <f aca="false">IF(B152="","","T"&amp;TEXT(ROW()-4,"0000"))</f>
        <v/>
      </c>
      <c r="B152" s="23"/>
      <c r="C152" s="10"/>
      <c r="D152" s="10"/>
      <c r="E152" s="10"/>
      <c r="F152" s="25"/>
      <c r="G152" s="10"/>
      <c r="H152" s="25"/>
      <c r="I152" s="12" t="str">
        <f aca="false">IF(F152="","",F152+H152)</f>
        <v/>
      </c>
      <c r="J152" s="10"/>
      <c r="K152" s="10"/>
      <c r="L152" s="10" t="str">
        <f aca="false">IF(B152="","",TEXT(B152,"YYYY-MM"))</f>
        <v/>
      </c>
      <c r="M152" s="10" t="str">
        <f aca="false">IF($E152="","",IFERROR(VLOOKUP($E152,Categories!$A:$B,2,FALSE()),""))</f>
        <v/>
      </c>
    </row>
    <row r="153" customFormat="false" ht="15" hidden="false" customHeight="false" outlineLevel="0" collapsed="false">
      <c r="A153" s="10" t="str">
        <f aca="false">IF(B153="","","T"&amp;TEXT(ROW()-4,"0000"))</f>
        <v/>
      </c>
      <c r="B153" s="23"/>
      <c r="C153" s="10"/>
      <c r="D153" s="10"/>
      <c r="E153" s="10"/>
      <c r="F153" s="25"/>
      <c r="G153" s="10"/>
      <c r="H153" s="25"/>
      <c r="I153" s="12" t="str">
        <f aca="false">IF(F153="","",F153+H153)</f>
        <v/>
      </c>
      <c r="J153" s="10"/>
      <c r="K153" s="10"/>
      <c r="L153" s="10" t="str">
        <f aca="false">IF(B153="","",TEXT(B153,"YYYY-MM"))</f>
        <v/>
      </c>
      <c r="M153" s="10" t="str">
        <f aca="false">IF($E153="","",IFERROR(VLOOKUP($E153,Categories!$A:$B,2,FALSE()),""))</f>
        <v/>
      </c>
    </row>
    <row r="154" customFormat="false" ht="15" hidden="false" customHeight="false" outlineLevel="0" collapsed="false">
      <c r="A154" s="10" t="str">
        <f aca="false">IF(B154="","","T"&amp;TEXT(ROW()-4,"0000"))</f>
        <v/>
      </c>
      <c r="B154" s="23"/>
      <c r="C154" s="10"/>
      <c r="D154" s="10"/>
      <c r="E154" s="10"/>
      <c r="F154" s="25"/>
      <c r="G154" s="10"/>
      <c r="H154" s="25"/>
      <c r="I154" s="12" t="str">
        <f aca="false">IF(F154="","",F154+H154)</f>
        <v/>
      </c>
      <c r="J154" s="10"/>
      <c r="K154" s="10"/>
      <c r="L154" s="10" t="str">
        <f aca="false">IF(B154="","",TEXT(B154,"YYYY-MM"))</f>
        <v/>
      </c>
      <c r="M154" s="10" t="str">
        <f aca="false">IF($E154="","",IFERROR(VLOOKUP($E154,Categories!$A:$B,2,FALSE()),""))</f>
        <v/>
      </c>
    </row>
    <row r="155" customFormat="false" ht="15" hidden="false" customHeight="false" outlineLevel="0" collapsed="false">
      <c r="A155" s="10" t="str">
        <f aca="false">IF(B155="","","T"&amp;TEXT(ROW()-4,"0000"))</f>
        <v/>
      </c>
      <c r="B155" s="23"/>
      <c r="C155" s="10"/>
      <c r="D155" s="10"/>
      <c r="E155" s="10"/>
      <c r="F155" s="25"/>
      <c r="G155" s="10"/>
      <c r="H155" s="25"/>
      <c r="I155" s="12" t="str">
        <f aca="false">IF(F155="","",F155+H155)</f>
        <v/>
      </c>
      <c r="J155" s="10"/>
      <c r="K155" s="10"/>
      <c r="L155" s="10" t="str">
        <f aca="false">IF(B155="","",TEXT(B155,"YYYY-MM"))</f>
        <v/>
      </c>
      <c r="M155" s="10" t="str">
        <f aca="false">IF($E155="","",IFERROR(VLOOKUP($E155,Categories!$A:$B,2,FALSE()),""))</f>
        <v/>
      </c>
    </row>
    <row r="156" customFormat="false" ht="15" hidden="false" customHeight="false" outlineLevel="0" collapsed="false">
      <c r="A156" s="10" t="str">
        <f aca="false">IF(B156="","","T"&amp;TEXT(ROW()-4,"0000"))</f>
        <v/>
      </c>
      <c r="B156" s="23"/>
      <c r="C156" s="10"/>
      <c r="D156" s="10"/>
      <c r="E156" s="10"/>
      <c r="F156" s="25"/>
      <c r="G156" s="10"/>
      <c r="H156" s="25"/>
      <c r="I156" s="12" t="str">
        <f aca="false">IF(F156="","",F156+H156)</f>
        <v/>
      </c>
      <c r="J156" s="10"/>
      <c r="K156" s="10"/>
      <c r="L156" s="10" t="str">
        <f aca="false">IF(B156="","",TEXT(B156,"YYYY-MM"))</f>
        <v/>
      </c>
      <c r="M156" s="10" t="str">
        <f aca="false">IF($E156="","",IFERROR(VLOOKUP($E156,Categories!$A:$B,2,FALSE()),""))</f>
        <v/>
      </c>
    </row>
    <row r="157" customFormat="false" ht="15" hidden="false" customHeight="false" outlineLevel="0" collapsed="false">
      <c r="A157" s="10" t="str">
        <f aca="false">IF(B157="","","T"&amp;TEXT(ROW()-4,"0000"))</f>
        <v/>
      </c>
      <c r="B157" s="23"/>
      <c r="C157" s="10"/>
      <c r="D157" s="10"/>
      <c r="E157" s="10"/>
      <c r="F157" s="25"/>
      <c r="G157" s="10"/>
      <c r="H157" s="25"/>
      <c r="I157" s="12" t="str">
        <f aca="false">IF(F157="","",F157+H157)</f>
        <v/>
      </c>
      <c r="J157" s="10"/>
      <c r="K157" s="10"/>
      <c r="L157" s="10" t="str">
        <f aca="false">IF(B157="","",TEXT(B157,"YYYY-MM"))</f>
        <v/>
      </c>
      <c r="M157" s="10" t="str">
        <f aca="false">IF($E157="","",IFERROR(VLOOKUP($E157,Categories!$A:$B,2,FALSE()),""))</f>
        <v/>
      </c>
    </row>
    <row r="158" customFormat="false" ht="15" hidden="false" customHeight="false" outlineLevel="0" collapsed="false">
      <c r="A158" s="10" t="str">
        <f aca="false">IF(B158="","","T"&amp;TEXT(ROW()-4,"0000"))</f>
        <v/>
      </c>
      <c r="B158" s="23"/>
      <c r="C158" s="10"/>
      <c r="D158" s="10"/>
      <c r="E158" s="10"/>
      <c r="F158" s="25"/>
      <c r="G158" s="10"/>
      <c r="H158" s="25"/>
      <c r="I158" s="12" t="str">
        <f aca="false">IF(F158="","",F158+H158)</f>
        <v/>
      </c>
      <c r="J158" s="10"/>
      <c r="K158" s="10"/>
      <c r="L158" s="10" t="str">
        <f aca="false">IF(B158="","",TEXT(B158,"YYYY-MM"))</f>
        <v/>
      </c>
      <c r="M158" s="10" t="str">
        <f aca="false">IF($E158="","",IFERROR(VLOOKUP($E158,Categories!$A:$B,2,FALSE()),""))</f>
        <v/>
      </c>
    </row>
    <row r="159" customFormat="false" ht="15" hidden="false" customHeight="false" outlineLevel="0" collapsed="false">
      <c r="A159" s="10" t="str">
        <f aca="false">IF(B159="","","T"&amp;TEXT(ROW()-4,"0000"))</f>
        <v/>
      </c>
      <c r="B159" s="23"/>
      <c r="C159" s="10"/>
      <c r="D159" s="10"/>
      <c r="E159" s="10"/>
      <c r="F159" s="25"/>
      <c r="G159" s="10"/>
      <c r="H159" s="25"/>
      <c r="I159" s="12" t="str">
        <f aca="false">IF(F159="","",F159+H159)</f>
        <v/>
      </c>
      <c r="J159" s="10"/>
      <c r="K159" s="10"/>
      <c r="L159" s="10" t="str">
        <f aca="false">IF(B159="","",TEXT(B159,"YYYY-MM"))</f>
        <v/>
      </c>
      <c r="M159" s="10" t="str">
        <f aca="false">IF($E159="","",IFERROR(VLOOKUP($E159,Categories!$A:$B,2,FALSE()),""))</f>
        <v/>
      </c>
    </row>
    <row r="160" customFormat="false" ht="15" hidden="false" customHeight="false" outlineLevel="0" collapsed="false">
      <c r="A160" s="10" t="str">
        <f aca="false">IF(B160="","","T"&amp;TEXT(ROW()-4,"0000"))</f>
        <v/>
      </c>
      <c r="B160" s="23"/>
      <c r="C160" s="10"/>
      <c r="D160" s="10"/>
      <c r="E160" s="10"/>
      <c r="F160" s="25"/>
      <c r="G160" s="10"/>
      <c r="H160" s="25"/>
      <c r="I160" s="12" t="str">
        <f aca="false">IF(F160="","",F160+H160)</f>
        <v/>
      </c>
      <c r="J160" s="10"/>
      <c r="K160" s="10"/>
      <c r="L160" s="10" t="str">
        <f aca="false">IF(B160="","",TEXT(B160,"YYYY-MM"))</f>
        <v/>
      </c>
      <c r="M160" s="10" t="str">
        <f aca="false">IF($E160="","",IFERROR(VLOOKUP($E160,Categories!$A:$B,2,FALSE()),""))</f>
        <v/>
      </c>
    </row>
    <row r="161" customFormat="false" ht="15" hidden="false" customHeight="false" outlineLevel="0" collapsed="false">
      <c r="A161" s="10" t="str">
        <f aca="false">IF(B161="","","T"&amp;TEXT(ROW()-4,"0000"))</f>
        <v/>
      </c>
      <c r="B161" s="23"/>
      <c r="C161" s="10"/>
      <c r="D161" s="10"/>
      <c r="E161" s="10"/>
      <c r="F161" s="25"/>
      <c r="G161" s="10"/>
      <c r="H161" s="25"/>
      <c r="I161" s="12" t="str">
        <f aca="false">IF(F161="","",F161+H161)</f>
        <v/>
      </c>
      <c r="J161" s="10"/>
      <c r="K161" s="10"/>
      <c r="L161" s="10" t="str">
        <f aca="false">IF(B161="","",TEXT(B161,"YYYY-MM"))</f>
        <v/>
      </c>
      <c r="M161" s="10" t="str">
        <f aca="false">IF($E161="","",IFERROR(VLOOKUP($E161,Categories!$A:$B,2,FALSE()),""))</f>
        <v/>
      </c>
    </row>
    <row r="162" customFormat="false" ht="15" hidden="false" customHeight="false" outlineLevel="0" collapsed="false">
      <c r="A162" s="10" t="str">
        <f aca="false">IF(B162="","","T"&amp;TEXT(ROW()-4,"0000"))</f>
        <v/>
      </c>
      <c r="B162" s="23"/>
      <c r="C162" s="10"/>
      <c r="D162" s="10"/>
      <c r="E162" s="10"/>
      <c r="F162" s="25"/>
      <c r="G162" s="10"/>
      <c r="H162" s="25"/>
      <c r="I162" s="12" t="str">
        <f aca="false">IF(F162="","",F162+H162)</f>
        <v/>
      </c>
      <c r="J162" s="10"/>
      <c r="K162" s="10"/>
      <c r="L162" s="10" t="str">
        <f aca="false">IF(B162="","",TEXT(B162,"YYYY-MM"))</f>
        <v/>
      </c>
      <c r="M162" s="10" t="str">
        <f aca="false">IF($E162="","",IFERROR(VLOOKUP($E162,Categories!$A:$B,2,FALSE()),""))</f>
        <v/>
      </c>
    </row>
    <row r="163" customFormat="false" ht="15" hidden="false" customHeight="false" outlineLevel="0" collapsed="false">
      <c r="A163" s="10" t="str">
        <f aca="false">IF(B163="","","T"&amp;TEXT(ROW()-4,"0000"))</f>
        <v/>
      </c>
      <c r="B163" s="23"/>
      <c r="C163" s="10"/>
      <c r="D163" s="10"/>
      <c r="E163" s="10"/>
      <c r="F163" s="25"/>
      <c r="G163" s="10"/>
      <c r="H163" s="25"/>
      <c r="I163" s="12" t="str">
        <f aca="false">IF(F163="","",F163+H163)</f>
        <v/>
      </c>
      <c r="J163" s="10"/>
      <c r="K163" s="10"/>
      <c r="L163" s="10" t="str">
        <f aca="false">IF(B163="","",TEXT(B163,"YYYY-MM"))</f>
        <v/>
      </c>
      <c r="M163" s="10" t="str">
        <f aca="false">IF($E163="","",IFERROR(VLOOKUP($E163,Categories!$A:$B,2,FALSE()),""))</f>
        <v/>
      </c>
    </row>
    <row r="164" customFormat="false" ht="15" hidden="false" customHeight="false" outlineLevel="0" collapsed="false">
      <c r="A164" s="10" t="str">
        <f aca="false">IF(B164="","","T"&amp;TEXT(ROW()-4,"0000"))</f>
        <v/>
      </c>
      <c r="B164" s="23"/>
      <c r="C164" s="10"/>
      <c r="D164" s="10"/>
      <c r="E164" s="10"/>
      <c r="F164" s="25"/>
      <c r="G164" s="10"/>
      <c r="H164" s="25"/>
      <c r="I164" s="12" t="str">
        <f aca="false">IF(F164="","",F164+H164)</f>
        <v/>
      </c>
      <c r="J164" s="10"/>
      <c r="K164" s="10"/>
      <c r="L164" s="10" t="str">
        <f aca="false">IF(B164="","",TEXT(B164,"YYYY-MM"))</f>
        <v/>
      </c>
      <c r="M164" s="10" t="str">
        <f aca="false">IF($E164="","",IFERROR(VLOOKUP($E164,Categories!$A:$B,2,FALSE()),""))</f>
        <v/>
      </c>
    </row>
    <row r="165" customFormat="false" ht="15" hidden="false" customHeight="false" outlineLevel="0" collapsed="false">
      <c r="A165" s="10" t="str">
        <f aca="false">IF(B165="","","T"&amp;TEXT(ROW()-4,"0000"))</f>
        <v/>
      </c>
      <c r="B165" s="23"/>
      <c r="C165" s="10"/>
      <c r="D165" s="10"/>
      <c r="E165" s="10"/>
      <c r="F165" s="25"/>
      <c r="G165" s="10"/>
      <c r="H165" s="25"/>
      <c r="I165" s="12" t="str">
        <f aca="false">IF(F165="","",F165+H165)</f>
        <v/>
      </c>
      <c r="J165" s="10"/>
      <c r="K165" s="10"/>
      <c r="L165" s="10" t="str">
        <f aca="false">IF(B165="","",TEXT(B165,"YYYY-MM"))</f>
        <v/>
      </c>
      <c r="M165" s="10" t="str">
        <f aca="false">IF($E165="","",IFERROR(VLOOKUP($E165,Categories!$A:$B,2,FALSE()),""))</f>
        <v/>
      </c>
    </row>
    <row r="166" customFormat="false" ht="15" hidden="false" customHeight="false" outlineLevel="0" collapsed="false">
      <c r="A166" s="10" t="str">
        <f aca="false">IF(B166="","","T"&amp;TEXT(ROW()-4,"0000"))</f>
        <v/>
      </c>
      <c r="B166" s="23"/>
      <c r="C166" s="10"/>
      <c r="D166" s="10"/>
      <c r="E166" s="10"/>
      <c r="F166" s="25"/>
      <c r="G166" s="10"/>
      <c r="H166" s="25"/>
      <c r="I166" s="12" t="str">
        <f aca="false">IF(F166="","",F166+H166)</f>
        <v/>
      </c>
      <c r="J166" s="10"/>
      <c r="K166" s="10"/>
      <c r="L166" s="10" t="str">
        <f aca="false">IF(B166="","",TEXT(B166,"YYYY-MM"))</f>
        <v/>
      </c>
      <c r="M166" s="10" t="str">
        <f aca="false">IF($E166="","",IFERROR(VLOOKUP($E166,Categories!$A:$B,2,FALSE()),""))</f>
        <v/>
      </c>
    </row>
    <row r="167" customFormat="false" ht="15" hidden="false" customHeight="false" outlineLevel="0" collapsed="false">
      <c r="A167" s="10" t="str">
        <f aca="false">IF(B167="","","T"&amp;TEXT(ROW()-4,"0000"))</f>
        <v/>
      </c>
      <c r="B167" s="23"/>
      <c r="C167" s="10"/>
      <c r="D167" s="10"/>
      <c r="E167" s="10"/>
      <c r="F167" s="25"/>
      <c r="G167" s="10"/>
      <c r="H167" s="25"/>
      <c r="I167" s="12" t="str">
        <f aca="false">IF(F167="","",F167+H167)</f>
        <v/>
      </c>
      <c r="J167" s="10"/>
      <c r="K167" s="10"/>
      <c r="L167" s="10" t="str">
        <f aca="false">IF(B167="","",TEXT(B167,"YYYY-MM"))</f>
        <v/>
      </c>
      <c r="M167" s="10" t="str">
        <f aca="false">IF($E167="","",IFERROR(VLOOKUP($E167,Categories!$A:$B,2,FALSE()),""))</f>
        <v/>
      </c>
    </row>
    <row r="168" customFormat="false" ht="15" hidden="false" customHeight="false" outlineLevel="0" collapsed="false">
      <c r="A168" s="10" t="str">
        <f aca="false">IF(B168="","","T"&amp;TEXT(ROW()-4,"0000"))</f>
        <v/>
      </c>
      <c r="B168" s="23"/>
      <c r="C168" s="10"/>
      <c r="D168" s="10"/>
      <c r="E168" s="10"/>
      <c r="F168" s="25"/>
      <c r="G168" s="10"/>
      <c r="H168" s="25"/>
      <c r="I168" s="12" t="str">
        <f aca="false">IF(F168="","",F168+H168)</f>
        <v/>
      </c>
      <c r="J168" s="10"/>
      <c r="K168" s="10"/>
      <c r="L168" s="10" t="str">
        <f aca="false">IF(B168="","",TEXT(B168,"YYYY-MM"))</f>
        <v/>
      </c>
      <c r="M168" s="10" t="str">
        <f aca="false">IF($E168="","",IFERROR(VLOOKUP($E168,Categories!$A:$B,2,FALSE()),""))</f>
        <v/>
      </c>
    </row>
    <row r="169" customFormat="false" ht="15" hidden="false" customHeight="false" outlineLevel="0" collapsed="false">
      <c r="A169" s="10" t="str">
        <f aca="false">IF(B169="","","T"&amp;TEXT(ROW()-4,"0000"))</f>
        <v/>
      </c>
      <c r="B169" s="23"/>
      <c r="C169" s="10"/>
      <c r="D169" s="10"/>
      <c r="E169" s="10"/>
      <c r="F169" s="25"/>
      <c r="G169" s="10"/>
      <c r="H169" s="25"/>
      <c r="I169" s="12" t="str">
        <f aca="false">IF(F169="","",F169+H169)</f>
        <v/>
      </c>
      <c r="J169" s="10"/>
      <c r="K169" s="10"/>
      <c r="L169" s="10" t="str">
        <f aca="false">IF(B169="","",TEXT(B169,"YYYY-MM"))</f>
        <v/>
      </c>
      <c r="M169" s="10" t="str">
        <f aca="false">IF($E169="","",IFERROR(VLOOKUP($E169,Categories!$A:$B,2,FALSE()),""))</f>
        <v/>
      </c>
    </row>
    <row r="170" customFormat="false" ht="15" hidden="false" customHeight="false" outlineLevel="0" collapsed="false">
      <c r="A170" s="10" t="str">
        <f aca="false">IF(B170="","","T"&amp;TEXT(ROW()-4,"0000"))</f>
        <v/>
      </c>
      <c r="B170" s="23"/>
      <c r="C170" s="10"/>
      <c r="D170" s="10"/>
      <c r="E170" s="10"/>
      <c r="F170" s="25"/>
      <c r="G170" s="10"/>
      <c r="H170" s="25"/>
      <c r="I170" s="12" t="str">
        <f aca="false">IF(F170="","",F170+H170)</f>
        <v/>
      </c>
      <c r="J170" s="10"/>
      <c r="K170" s="10"/>
      <c r="L170" s="10" t="str">
        <f aca="false">IF(B170="","",TEXT(B170,"YYYY-MM"))</f>
        <v/>
      </c>
      <c r="M170" s="10" t="str">
        <f aca="false">IF($E170="","",IFERROR(VLOOKUP($E170,Categories!$A:$B,2,FALSE()),""))</f>
        <v/>
      </c>
    </row>
    <row r="171" customFormat="false" ht="15" hidden="false" customHeight="false" outlineLevel="0" collapsed="false">
      <c r="A171" s="10" t="str">
        <f aca="false">IF(B171="","","T"&amp;TEXT(ROW()-4,"0000"))</f>
        <v/>
      </c>
      <c r="B171" s="23"/>
      <c r="C171" s="10"/>
      <c r="D171" s="10"/>
      <c r="E171" s="10"/>
      <c r="F171" s="25"/>
      <c r="G171" s="10"/>
      <c r="H171" s="25"/>
      <c r="I171" s="12" t="str">
        <f aca="false">IF(F171="","",F171+H171)</f>
        <v/>
      </c>
      <c r="J171" s="10"/>
      <c r="K171" s="10"/>
      <c r="L171" s="10" t="str">
        <f aca="false">IF(B171="","",TEXT(B171,"YYYY-MM"))</f>
        <v/>
      </c>
      <c r="M171" s="10" t="str">
        <f aca="false">IF($E171="","",IFERROR(VLOOKUP($E171,Categories!$A:$B,2,FALSE()),""))</f>
        <v/>
      </c>
    </row>
    <row r="172" customFormat="false" ht="15" hidden="false" customHeight="false" outlineLevel="0" collapsed="false">
      <c r="A172" s="10" t="str">
        <f aca="false">IF(B172="","","T"&amp;TEXT(ROW()-4,"0000"))</f>
        <v/>
      </c>
      <c r="B172" s="23"/>
      <c r="C172" s="10"/>
      <c r="D172" s="10"/>
      <c r="E172" s="10"/>
      <c r="F172" s="25"/>
      <c r="G172" s="10"/>
      <c r="H172" s="25"/>
      <c r="I172" s="12" t="str">
        <f aca="false">IF(F172="","",F172+H172)</f>
        <v/>
      </c>
      <c r="J172" s="10"/>
      <c r="K172" s="10"/>
      <c r="L172" s="10" t="str">
        <f aca="false">IF(B172="","",TEXT(B172,"YYYY-MM"))</f>
        <v/>
      </c>
      <c r="M172" s="10" t="str">
        <f aca="false">IF($E172="","",IFERROR(VLOOKUP($E172,Categories!$A:$B,2,FALSE()),""))</f>
        <v/>
      </c>
    </row>
    <row r="173" customFormat="false" ht="15" hidden="false" customHeight="false" outlineLevel="0" collapsed="false">
      <c r="A173" s="10" t="str">
        <f aca="false">IF(B173="","","T"&amp;TEXT(ROW()-4,"0000"))</f>
        <v/>
      </c>
      <c r="B173" s="23"/>
      <c r="C173" s="10"/>
      <c r="D173" s="10"/>
      <c r="E173" s="10"/>
      <c r="F173" s="25"/>
      <c r="G173" s="10"/>
      <c r="H173" s="25"/>
      <c r="I173" s="12" t="str">
        <f aca="false">IF(F173="","",F173+H173)</f>
        <v/>
      </c>
      <c r="J173" s="10"/>
      <c r="K173" s="10"/>
      <c r="L173" s="10" t="str">
        <f aca="false">IF(B173="","",TEXT(B173,"YYYY-MM"))</f>
        <v/>
      </c>
      <c r="M173" s="10" t="str">
        <f aca="false">IF($E173="","",IFERROR(VLOOKUP($E173,Categories!$A:$B,2,FALSE()),""))</f>
        <v/>
      </c>
    </row>
    <row r="174" customFormat="false" ht="15" hidden="false" customHeight="false" outlineLevel="0" collapsed="false">
      <c r="A174" s="10" t="str">
        <f aca="false">IF(B174="","","T"&amp;TEXT(ROW()-4,"0000"))</f>
        <v/>
      </c>
      <c r="B174" s="23"/>
      <c r="C174" s="10"/>
      <c r="D174" s="10"/>
      <c r="E174" s="10"/>
      <c r="F174" s="25"/>
      <c r="G174" s="10"/>
      <c r="H174" s="25"/>
      <c r="I174" s="12" t="str">
        <f aca="false">IF(F174="","",F174+H174)</f>
        <v/>
      </c>
      <c r="J174" s="10"/>
      <c r="K174" s="10"/>
      <c r="L174" s="10" t="str">
        <f aca="false">IF(B174="","",TEXT(B174,"YYYY-MM"))</f>
        <v/>
      </c>
      <c r="M174" s="10" t="str">
        <f aca="false">IF($E174="","",IFERROR(VLOOKUP($E174,Categories!$A:$B,2,FALSE()),""))</f>
        <v/>
      </c>
    </row>
    <row r="175" customFormat="false" ht="15" hidden="false" customHeight="false" outlineLevel="0" collapsed="false">
      <c r="A175" s="10" t="str">
        <f aca="false">IF(B175="","","T"&amp;TEXT(ROW()-4,"0000"))</f>
        <v/>
      </c>
      <c r="B175" s="23"/>
      <c r="C175" s="10"/>
      <c r="D175" s="10"/>
      <c r="E175" s="10"/>
      <c r="F175" s="25"/>
      <c r="G175" s="10"/>
      <c r="H175" s="25"/>
      <c r="I175" s="12" t="str">
        <f aca="false">IF(F175="","",F175+H175)</f>
        <v/>
      </c>
      <c r="J175" s="10"/>
      <c r="K175" s="10"/>
      <c r="L175" s="10" t="str">
        <f aca="false">IF(B175="","",TEXT(B175,"YYYY-MM"))</f>
        <v/>
      </c>
      <c r="M175" s="10" t="str">
        <f aca="false">IF($E175="","",IFERROR(VLOOKUP($E175,Categories!$A:$B,2,FALSE()),""))</f>
        <v/>
      </c>
    </row>
    <row r="176" customFormat="false" ht="15" hidden="false" customHeight="false" outlineLevel="0" collapsed="false">
      <c r="A176" s="10" t="str">
        <f aca="false">IF(B176="","","T"&amp;TEXT(ROW()-4,"0000"))</f>
        <v/>
      </c>
      <c r="B176" s="23"/>
      <c r="C176" s="10"/>
      <c r="D176" s="10"/>
      <c r="E176" s="10"/>
      <c r="F176" s="25"/>
      <c r="G176" s="10"/>
      <c r="H176" s="25"/>
      <c r="I176" s="12" t="str">
        <f aca="false">IF(F176="","",F176+H176)</f>
        <v/>
      </c>
      <c r="J176" s="10"/>
      <c r="K176" s="10"/>
      <c r="L176" s="10" t="str">
        <f aca="false">IF(B176="","",TEXT(B176,"YYYY-MM"))</f>
        <v/>
      </c>
      <c r="M176" s="10" t="str">
        <f aca="false">IF($E176="","",IFERROR(VLOOKUP($E176,Categories!$A:$B,2,FALSE()),""))</f>
        <v/>
      </c>
    </row>
    <row r="177" customFormat="false" ht="15" hidden="false" customHeight="false" outlineLevel="0" collapsed="false">
      <c r="A177" s="10" t="str">
        <f aca="false">IF(B177="","","T"&amp;TEXT(ROW()-4,"0000"))</f>
        <v/>
      </c>
      <c r="B177" s="23"/>
      <c r="C177" s="10"/>
      <c r="D177" s="10"/>
      <c r="E177" s="10"/>
      <c r="F177" s="25"/>
      <c r="G177" s="10"/>
      <c r="H177" s="25"/>
      <c r="I177" s="12" t="str">
        <f aca="false">IF(F177="","",F177+H177)</f>
        <v/>
      </c>
      <c r="J177" s="10"/>
      <c r="K177" s="10"/>
      <c r="L177" s="10" t="str">
        <f aca="false">IF(B177="","",TEXT(B177,"YYYY-MM"))</f>
        <v/>
      </c>
      <c r="M177" s="10" t="str">
        <f aca="false">IF($E177="","",IFERROR(VLOOKUP($E177,Categories!$A:$B,2,FALSE()),""))</f>
        <v/>
      </c>
    </row>
    <row r="178" customFormat="false" ht="15" hidden="false" customHeight="false" outlineLevel="0" collapsed="false">
      <c r="A178" s="10" t="str">
        <f aca="false">IF(B178="","","T"&amp;TEXT(ROW()-4,"0000"))</f>
        <v/>
      </c>
      <c r="B178" s="23"/>
      <c r="C178" s="10"/>
      <c r="D178" s="10"/>
      <c r="E178" s="10"/>
      <c r="F178" s="25"/>
      <c r="G178" s="10"/>
      <c r="H178" s="25"/>
      <c r="I178" s="12" t="str">
        <f aca="false">IF(F178="","",F178+H178)</f>
        <v/>
      </c>
      <c r="J178" s="10"/>
      <c r="K178" s="10"/>
      <c r="L178" s="10" t="str">
        <f aca="false">IF(B178="","",TEXT(B178,"YYYY-MM"))</f>
        <v/>
      </c>
      <c r="M178" s="10" t="str">
        <f aca="false">IF($E178="","",IFERROR(VLOOKUP($E178,Categories!$A:$B,2,FALSE()),""))</f>
        <v/>
      </c>
    </row>
    <row r="179" customFormat="false" ht="15" hidden="false" customHeight="false" outlineLevel="0" collapsed="false">
      <c r="A179" s="10" t="str">
        <f aca="false">IF(B179="","","T"&amp;TEXT(ROW()-4,"0000"))</f>
        <v/>
      </c>
      <c r="B179" s="23"/>
      <c r="C179" s="10"/>
      <c r="D179" s="10"/>
      <c r="E179" s="10"/>
      <c r="F179" s="25"/>
      <c r="G179" s="10"/>
      <c r="H179" s="25"/>
      <c r="I179" s="12" t="str">
        <f aca="false">IF(F179="","",F179+H179)</f>
        <v/>
      </c>
      <c r="J179" s="10"/>
      <c r="K179" s="10"/>
      <c r="L179" s="10" t="str">
        <f aca="false">IF(B179="","",TEXT(B179,"YYYY-MM"))</f>
        <v/>
      </c>
      <c r="M179" s="10" t="str">
        <f aca="false">IF($E179="","",IFERROR(VLOOKUP($E179,Categories!$A:$B,2,FALSE()),""))</f>
        <v/>
      </c>
    </row>
    <row r="180" customFormat="false" ht="15" hidden="false" customHeight="false" outlineLevel="0" collapsed="false">
      <c r="A180" s="10" t="str">
        <f aca="false">IF(B180="","","T"&amp;TEXT(ROW()-4,"0000"))</f>
        <v/>
      </c>
      <c r="B180" s="23"/>
      <c r="C180" s="10"/>
      <c r="D180" s="10"/>
      <c r="E180" s="10"/>
      <c r="F180" s="25"/>
      <c r="G180" s="10"/>
      <c r="H180" s="25"/>
      <c r="I180" s="12" t="str">
        <f aca="false">IF(F180="","",F180+H180)</f>
        <v/>
      </c>
      <c r="J180" s="10"/>
      <c r="K180" s="10"/>
      <c r="L180" s="10" t="str">
        <f aca="false">IF(B180="","",TEXT(B180,"YYYY-MM"))</f>
        <v/>
      </c>
      <c r="M180" s="10" t="str">
        <f aca="false">IF($E180="","",IFERROR(VLOOKUP($E180,Categories!$A:$B,2,FALSE()),""))</f>
        <v/>
      </c>
    </row>
    <row r="181" customFormat="false" ht="15" hidden="false" customHeight="false" outlineLevel="0" collapsed="false">
      <c r="A181" s="10" t="str">
        <f aca="false">IF(B181="","","T"&amp;TEXT(ROW()-4,"0000"))</f>
        <v/>
      </c>
      <c r="B181" s="23"/>
      <c r="C181" s="10"/>
      <c r="D181" s="10"/>
      <c r="E181" s="10"/>
      <c r="F181" s="25"/>
      <c r="G181" s="10"/>
      <c r="H181" s="25"/>
      <c r="I181" s="12" t="str">
        <f aca="false">IF(F181="","",F181+H181)</f>
        <v/>
      </c>
      <c r="J181" s="10"/>
      <c r="K181" s="10"/>
      <c r="L181" s="10" t="str">
        <f aca="false">IF(B181="","",TEXT(B181,"YYYY-MM"))</f>
        <v/>
      </c>
      <c r="M181" s="10" t="str">
        <f aca="false">IF($E181="","",IFERROR(VLOOKUP($E181,Categories!$A:$B,2,FALSE()),""))</f>
        <v/>
      </c>
    </row>
    <row r="182" customFormat="false" ht="15" hidden="false" customHeight="false" outlineLevel="0" collapsed="false">
      <c r="A182" s="10" t="str">
        <f aca="false">IF(B182="","","T"&amp;TEXT(ROW()-4,"0000"))</f>
        <v/>
      </c>
      <c r="B182" s="23"/>
      <c r="C182" s="10"/>
      <c r="D182" s="10"/>
      <c r="E182" s="10"/>
      <c r="F182" s="25"/>
      <c r="G182" s="10"/>
      <c r="H182" s="25"/>
      <c r="I182" s="12" t="str">
        <f aca="false">IF(F182="","",F182+H182)</f>
        <v/>
      </c>
      <c r="J182" s="10"/>
      <c r="K182" s="10"/>
      <c r="L182" s="10" t="str">
        <f aca="false">IF(B182="","",TEXT(B182,"YYYY-MM"))</f>
        <v/>
      </c>
      <c r="M182" s="10" t="str">
        <f aca="false">IF($E182="","",IFERROR(VLOOKUP($E182,Categories!$A:$B,2,FALSE()),""))</f>
        <v/>
      </c>
    </row>
    <row r="183" customFormat="false" ht="15" hidden="false" customHeight="false" outlineLevel="0" collapsed="false">
      <c r="A183" s="10" t="str">
        <f aca="false">IF(B183="","","T"&amp;TEXT(ROW()-4,"0000"))</f>
        <v/>
      </c>
      <c r="B183" s="23"/>
      <c r="C183" s="10"/>
      <c r="D183" s="10"/>
      <c r="E183" s="10"/>
      <c r="F183" s="25"/>
      <c r="G183" s="10"/>
      <c r="H183" s="25"/>
      <c r="I183" s="12" t="str">
        <f aca="false">IF(F183="","",F183+H183)</f>
        <v/>
      </c>
      <c r="J183" s="10"/>
      <c r="K183" s="10"/>
      <c r="L183" s="10" t="str">
        <f aca="false">IF(B183="","",TEXT(B183,"YYYY-MM"))</f>
        <v/>
      </c>
      <c r="M183" s="10" t="str">
        <f aca="false">IF($E183="","",IFERROR(VLOOKUP($E183,Categories!$A:$B,2,FALSE()),""))</f>
        <v/>
      </c>
    </row>
    <row r="184" customFormat="false" ht="15" hidden="false" customHeight="false" outlineLevel="0" collapsed="false">
      <c r="A184" s="10" t="str">
        <f aca="false">IF(B184="","","T"&amp;TEXT(ROW()-4,"0000"))</f>
        <v/>
      </c>
      <c r="B184" s="23"/>
      <c r="C184" s="10"/>
      <c r="D184" s="10"/>
      <c r="E184" s="10"/>
      <c r="F184" s="25"/>
      <c r="G184" s="10"/>
      <c r="H184" s="25"/>
      <c r="I184" s="12" t="str">
        <f aca="false">IF(F184="","",F184+H184)</f>
        <v/>
      </c>
      <c r="J184" s="10"/>
      <c r="K184" s="10"/>
      <c r="L184" s="10" t="str">
        <f aca="false">IF(B184="","",TEXT(B184,"YYYY-MM"))</f>
        <v/>
      </c>
      <c r="M184" s="10" t="str">
        <f aca="false">IF($E184="","",IFERROR(VLOOKUP($E184,Categories!$A:$B,2,FALSE()),""))</f>
        <v/>
      </c>
    </row>
    <row r="185" customFormat="false" ht="15" hidden="false" customHeight="false" outlineLevel="0" collapsed="false">
      <c r="A185" s="10" t="str">
        <f aca="false">IF(B185="","","T"&amp;TEXT(ROW()-4,"0000"))</f>
        <v/>
      </c>
      <c r="B185" s="23"/>
      <c r="C185" s="10"/>
      <c r="D185" s="10"/>
      <c r="E185" s="10"/>
      <c r="F185" s="25"/>
      <c r="G185" s="10"/>
      <c r="H185" s="25"/>
      <c r="I185" s="12" t="str">
        <f aca="false">IF(F185="","",F185+H185)</f>
        <v/>
      </c>
      <c r="J185" s="10"/>
      <c r="K185" s="10"/>
      <c r="L185" s="10" t="str">
        <f aca="false">IF(B185="","",TEXT(B185,"YYYY-MM"))</f>
        <v/>
      </c>
      <c r="M185" s="10" t="str">
        <f aca="false">IF($E185="","",IFERROR(VLOOKUP($E185,Categories!$A:$B,2,FALSE()),""))</f>
        <v/>
      </c>
    </row>
    <row r="186" customFormat="false" ht="15" hidden="false" customHeight="false" outlineLevel="0" collapsed="false">
      <c r="A186" s="10" t="str">
        <f aca="false">IF(B186="","","T"&amp;TEXT(ROW()-4,"0000"))</f>
        <v/>
      </c>
      <c r="B186" s="23"/>
      <c r="C186" s="10"/>
      <c r="D186" s="10"/>
      <c r="E186" s="10"/>
      <c r="F186" s="25"/>
      <c r="G186" s="10"/>
      <c r="H186" s="25"/>
      <c r="I186" s="12" t="str">
        <f aca="false">IF(F186="","",F186+H186)</f>
        <v/>
      </c>
      <c r="J186" s="10"/>
      <c r="K186" s="10"/>
      <c r="L186" s="10" t="str">
        <f aca="false">IF(B186="","",TEXT(B186,"YYYY-MM"))</f>
        <v/>
      </c>
      <c r="M186" s="10" t="str">
        <f aca="false">IF($E186="","",IFERROR(VLOOKUP($E186,Categories!$A:$B,2,FALSE()),""))</f>
        <v/>
      </c>
    </row>
    <row r="187" customFormat="false" ht="15" hidden="false" customHeight="false" outlineLevel="0" collapsed="false">
      <c r="A187" s="10" t="str">
        <f aca="false">IF(B187="","","T"&amp;TEXT(ROW()-4,"0000"))</f>
        <v/>
      </c>
      <c r="B187" s="23"/>
      <c r="C187" s="10"/>
      <c r="D187" s="10"/>
      <c r="E187" s="10"/>
      <c r="F187" s="25"/>
      <c r="G187" s="10"/>
      <c r="H187" s="25"/>
      <c r="I187" s="12" t="str">
        <f aca="false">IF(F187="","",F187+H187)</f>
        <v/>
      </c>
      <c r="J187" s="10"/>
      <c r="K187" s="10"/>
      <c r="L187" s="10" t="str">
        <f aca="false">IF(B187="","",TEXT(B187,"YYYY-MM"))</f>
        <v/>
      </c>
      <c r="M187" s="10" t="str">
        <f aca="false">IF($E187="","",IFERROR(VLOOKUP($E187,Categories!$A:$B,2,FALSE()),""))</f>
        <v/>
      </c>
    </row>
    <row r="188" customFormat="false" ht="15" hidden="false" customHeight="false" outlineLevel="0" collapsed="false">
      <c r="A188" s="10" t="str">
        <f aca="false">IF(B188="","","T"&amp;TEXT(ROW()-4,"0000"))</f>
        <v/>
      </c>
      <c r="B188" s="23"/>
      <c r="C188" s="10"/>
      <c r="D188" s="10"/>
      <c r="E188" s="10"/>
      <c r="F188" s="25"/>
      <c r="G188" s="10"/>
      <c r="H188" s="25"/>
      <c r="I188" s="12" t="str">
        <f aca="false">IF(F188="","",F188+H188)</f>
        <v/>
      </c>
      <c r="J188" s="10"/>
      <c r="K188" s="10"/>
      <c r="L188" s="10" t="str">
        <f aca="false">IF(B188="","",TEXT(B188,"YYYY-MM"))</f>
        <v/>
      </c>
      <c r="M188" s="10" t="str">
        <f aca="false">IF($E188="","",IFERROR(VLOOKUP($E188,Categories!$A:$B,2,FALSE()),""))</f>
        <v/>
      </c>
    </row>
    <row r="189" customFormat="false" ht="15" hidden="false" customHeight="false" outlineLevel="0" collapsed="false">
      <c r="A189" s="10" t="str">
        <f aca="false">IF(B189="","","T"&amp;TEXT(ROW()-4,"0000"))</f>
        <v/>
      </c>
      <c r="B189" s="23"/>
      <c r="C189" s="10"/>
      <c r="D189" s="10"/>
      <c r="E189" s="10"/>
      <c r="F189" s="25"/>
      <c r="G189" s="10"/>
      <c r="H189" s="25"/>
      <c r="I189" s="12" t="str">
        <f aca="false">IF(F189="","",F189+H189)</f>
        <v/>
      </c>
      <c r="J189" s="10"/>
      <c r="K189" s="10"/>
      <c r="L189" s="10" t="str">
        <f aca="false">IF(B189="","",TEXT(B189,"YYYY-MM"))</f>
        <v/>
      </c>
      <c r="M189" s="10" t="str">
        <f aca="false">IF($E189="","",IFERROR(VLOOKUP($E189,Categories!$A:$B,2,FALSE()),""))</f>
        <v/>
      </c>
    </row>
    <row r="190" customFormat="false" ht="15" hidden="false" customHeight="false" outlineLevel="0" collapsed="false">
      <c r="A190" s="10" t="str">
        <f aca="false">IF(B190="","","T"&amp;TEXT(ROW()-4,"0000"))</f>
        <v/>
      </c>
      <c r="B190" s="23"/>
      <c r="C190" s="10"/>
      <c r="D190" s="10"/>
      <c r="E190" s="10"/>
      <c r="F190" s="25"/>
      <c r="G190" s="10"/>
      <c r="H190" s="25"/>
      <c r="I190" s="12" t="str">
        <f aca="false">IF(F190="","",F190+H190)</f>
        <v/>
      </c>
      <c r="J190" s="10"/>
      <c r="K190" s="10"/>
      <c r="L190" s="10" t="str">
        <f aca="false">IF(B190="","",TEXT(B190,"YYYY-MM"))</f>
        <v/>
      </c>
      <c r="M190" s="10" t="str">
        <f aca="false">IF($E190="","",IFERROR(VLOOKUP($E190,Categories!$A:$B,2,FALSE()),""))</f>
        <v/>
      </c>
    </row>
    <row r="191" customFormat="false" ht="15" hidden="false" customHeight="false" outlineLevel="0" collapsed="false">
      <c r="A191" s="10" t="str">
        <f aca="false">IF(B191="","","T"&amp;TEXT(ROW()-4,"0000"))</f>
        <v/>
      </c>
      <c r="B191" s="23"/>
      <c r="C191" s="10"/>
      <c r="D191" s="10"/>
      <c r="E191" s="10"/>
      <c r="F191" s="25"/>
      <c r="G191" s="10"/>
      <c r="H191" s="25"/>
      <c r="I191" s="12" t="str">
        <f aca="false">IF(F191="","",F191+H191)</f>
        <v/>
      </c>
      <c r="J191" s="10"/>
      <c r="K191" s="10"/>
      <c r="L191" s="10" t="str">
        <f aca="false">IF(B191="","",TEXT(B191,"YYYY-MM"))</f>
        <v/>
      </c>
      <c r="M191" s="10" t="str">
        <f aca="false">IF($E191="","",IFERROR(VLOOKUP($E191,Categories!$A:$B,2,FALSE()),""))</f>
        <v/>
      </c>
    </row>
    <row r="192" customFormat="false" ht="15" hidden="false" customHeight="false" outlineLevel="0" collapsed="false">
      <c r="A192" s="10" t="str">
        <f aca="false">IF(B192="","","T"&amp;TEXT(ROW()-4,"0000"))</f>
        <v/>
      </c>
      <c r="B192" s="23"/>
      <c r="C192" s="10"/>
      <c r="D192" s="10"/>
      <c r="E192" s="10"/>
      <c r="F192" s="25"/>
      <c r="G192" s="10"/>
      <c r="H192" s="25"/>
      <c r="I192" s="12" t="str">
        <f aca="false">IF(F192="","",F192+H192)</f>
        <v/>
      </c>
      <c r="J192" s="10"/>
      <c r="K192" s="10"/>
      <c r="L192" s="10" t="str">
        <f aca="false">IF(B192="","",TEXT(B192,"YYYY-MM"))</f>
        <v/>
      </c>
      <c r="M192" s="10" t="str">
        <f aca="false">IF($E192="","",IFERROR(VLOOKUP($E192,Categories!$A:$B,2,FALSE()),""))</f>
        <v/>
      </c>
    </row>
    <row r="193" customFormat="false" ht="15" hidden="false" customHeight="false" outlineLevel="0" collapsed="false">
      <c r="A193" s="10" t="str">
        <f aca="false">IF(B193="","","T"&amp;TEXT(ROW()-4,"0000"))</f>
        <v/>
      </c>
      <c r="B193" s="23"/>
      <c r="C193" s="10"/>
      <c r="D193" s="10"/>
      <c r="E193" s="10"/>
      <c r="F193" s="25"/>
      <c r="G193" s="10"/>
      <c r="H193" s="25"/>
      <c r="I193" s="12" t="str">
        <f aca="false">IF(F193="","",F193+H193)</f>
        <v/>
      </c>
      <c r="J193" s="10"/>
      <c r="K193" s="10"/>
      <c r="L193" s="10" t="str">
        <f aca="false">IF(B193="","",TEXT(B193,"YYYY-MM"))</f>
        <v/>
      </c>
      <c r="M193" s="10" t="str">
        <f aca="false">IF($E193="","",IFERROR(VLOOKUP($E193,Categories!$A:$B,2,FALSE()),""))</f>
        <v/>
      </c>
    </row>
    <row r="194" customFormat="false" ht="15" hidden="false" customHeight="false" outlineLevel="0" collapsed="false">
      <c r="A194" s="10" t="str">
        <f aca="false">IF(B194="","","T"&amp;TEXT(ROW()-4,"0000"))</f>
        <v/>
      </c>
      <c r="B194" s="23"/>
      <c r="C194" s="10"/>
      <c r="D194" s="10"/>
      <c r="E194" s="10"/>
      <c r="F194" s="25"/>
      <c r="G194" s="10"/>
      <c r="H194" s="25"/>
      <c r="I194" s="12" t="str">
        <f aca="false">IF(F194="","",F194+H194)</f>
        <v/>
      </c>
      <c r="J194" s="10"/>
      <c r="K194" s="10"/>
      <c r="L194" s="10" t="str">
        <f aca="false">IF(B194="","",TEXT(B194,"YYYY-MM"))</f>
        <v/>
      </c>
      <c r="M194" s="10" t="str">
        <f aca="false">IF($E194="","",IFERROR(VLOOKUP($E194,Categories!$A:$B,2,FALSE()),""))</f>
        <v/>
      </c>
    </row>
    <row r="195" customFormat="false" ht="15" hidden="false" customHeight="false" outlineLevel="0" collapsed="false">
      <c r="A195" s="10" t="str">
        <f aca="false">IF(B195="","","T"&amp;TEXT(ROW()-4,"0000"))</f>
        <v/>
      </c>
      <c r="B195" s="23"/>
      <c r="C195" s="10"/>
      <c r="D195" s="10"/>
      <c r="E195" s="10"/>
      <c r="F195" s="25"/>
      <c r="G195" s="10"/>
      <c r="H195" s="25"/>
      <c r="I195" s="12" t="str">
        <f aca="false">IF(F195="","",F195+H195)</f>
        <v/>
      </c>
      <c r="J195" s="10"/>
      <c r="K195" s="10"/>
      <c r="L195" s="10" t="str">
        <f aca="false">IF(B195="","",TEXT(B195,"YYYY-MM"))</f>
        <v/>
      </c>
      <c r="M195" s="10" t="str">
        <f aca="false">IF($E195="","",IFERROR(VLOOKUP($E195,Categories!$A:$B,2,FALSE()),""))</f>
        <v/>
      </c>
    </row>
    <row r="196" customFormat="false" ht="15" hidden="false" customHeight="false" outlineLevel="0" collapsed="false">
      <c r="A196" s="10" t="str">
        <f aca="false">IF(B196="","","T"&amp;TEXT(ROW()-4,"0000"))</f>
        <v/>
      </c>
      <c r="B196" s="23"/>
      <c r="C196" s="10"/>
      <c r="D196" s="10"/>
      <c r="E196" s="10"/>
      <c r="F196" s="25"/>
      <c r="G196" s="10"/>
      <c r="H196" s="25"/>
      <c r="I196" s="12" t="str">
        <f aca="false">IF(F196="","",F196+H196)</f>
        <v/>
      </c>
      <c r="J196" s="10"/>
      <c r="K196" s="10"/>
      <c r="L196" s="10" t="str">
        <f aca="false">IF(B196="","",TEXT(B196,"YYYY-MM"))</f>
        <v/>
      </c>
      <c r="M196" s="10" t="str">
        <f aca="false">IF($E196="","",IFERROR(VLOOKUP($E196,Categories!$A:$B,2,FALSE()),""))</f>
        <v/>
      </c>
    </row>
    <row r="197" customFormat="false" ht="15" hidden="false" customHeight="false" outlineLevel="0" collapsed="false">
      <c r="A197" s="10" t="str">
        <f aca="false">IF(B197="","","T"&amp;TEXT(ROW()-4,"0000"))</f>
        <v/>
      </c>
      <c r="B197" s="23"/>
      <c r="C197" s="10"/>
      <c r="D197" s="10"/>
      <c r="E197" s="10"/>
      <c r="F197" s="25"/>
      <c r="G197" s="10"/>
      <c r="H197" s="25"/>
      <c r="I197" s="12" t="str">
        <f aca="false">IF(F197="","",F197+H197)</f>
        <v/>
      </c>
      <c r="J197" s="10"/>
      <c r="K197" s="10"/>
      <c r="L197" s="10" t="str">
        <f aca="false">IF(B197="","",TEXT(B197,"YYYY-MM"))</f>
        <v/>
      </c>
      <c r="M197" s="10" t="str">
        <f aca="false">IF($E197="","",IFERROR(VLOOKUP($E197,Categories!$A:$B,2,FALSE()),""))</f>
        <v/>
      </c>
    </row>
    <row r="198" customFormat="false" ht="15" hidden="false" customHeight="false" outlineLevel="0" collapsed="false">
      <c r="A198" s="10" t="str">
        <f aca="false">IF(B198="","","T"&amp;TEXT(ROW()-4,"0000"))</f>
        <v/>
      </c>
      <c r="B198" s="23"/>
      <c r="C198" s="10"/>
      <c r="D198" s="10"/>
      <c r="E198" s="10"/>
      <c r="F198" s="25"/>
      <c r="G198" s="10"/>
      <c r="H198" s="25"/>
      <c r="I198" s="12" t="str">
        <f aca="false">IF(F198="","",F198+H198)</f>
        <v/>
      </c>
      <c r="J198" s="10"/>
      <c r="K198" s="10"/>
      <c r="L198" s="10" t="str">
        <f aca="false">IF(B198="","",TEXT(B198,"YYYY-MM"))</f>
        <v/>
      </c>
      <c r="M198" s="10" t="str">
        <f aca="false">IF($E198="","",IFERROR(VLOOKUP($E198,Categories!$A:$B,2,FALSE()),""))</f>
        <v/>
      </c>
    </row>
    <row r="199" customFormat="false" ht="15" hidden="false" customHeight="false" outlineLevel="0" collapsed="false">
      <c r="A199" s="10" t="str">
        <f aca="false">IF(B199="","","T"&amp;TEXT(ROW()-4,"0000"))</f>
        <v/>
      </c>
      <c r="B199" s="23"/>
      <c r="C199" s="10"/>
      <c r="D199" s="10"/>
      <c r="E199" s="10"/>
      <c r="F199" s="25"/>
      <c r="G199" s="10"/>
      <c r="H199" s="25"/>
      <c r="I199" s="12" t="str">
        <f aca="false">IF(F199="","",F199+H199)</f>
        <v/>
      </c>
      <c r="J199" s="10"/>
      <c r="K199" s="10"/>
      <c r="L199" s="10" t="str">
        <f aca="false">IF(B199="","",TEXT(B199,"YYYY-MM"))</f>
        <v/>
      </c>
      <c r="M199" s="10" t="str">
        <f aca="false">IF($E199="","",IFERROR(VLOOKUP($E199,Categories!$A:$B,2,FALSE()),""))</f>
        <v/>
      </c>
    </row>
    <row r="200" customFormat="false" ht="15" hidden="false" customHeight="false" outlineLevel="0" collapsed="false">
      <c r="A200" s="10" t="str">
        <f aca="false">IF(B200="","","T"&amp;TEXT(ROW()-4,"0000"))</f>
        <v/>
      </c>
      <c r="B200" s="23"/>
      <c r="C200" s="10"/>
      <c r="D200" s="10"/>
      <c r="E200" s="10"/>
      <c r="F200" s="25"/>
      <c r="G200" s="10"/>
      <c r="H200" s="25"/>
      <c r="I200" s="12" t="str">
        <f aca="false">IF(F200="","",F200+H200)</f>
        <v/>
      </c>
      <c r="J200" s="10"/>
      <c r="K200" s="10"/>
      <c r="L200" s="10" t="str">
        <f aca="false">IF(B200="","",TEXT(B200,"YYYY-MM"))</f>
        <v/>
      </c>
      <c r="M200" s="10" t="str">
        <f aca="false">IF($E200="","",IFERROR(VLOOKUP($E200,Categories!$A:$B,2,FALSE()),""))</f>
        <v/>
      </c>
    </row>
    <row r="201" customFormat="false" ht="15" hidden="false" customHeight="false" outlineLevel="0" collapsed="false">
      <c r="A201" s="10" t="str">
        <f aca="false">IF(B201="","","T"&amp;TEXT(ROW()-4,"0000"))</f>
        <v/>
      </c>
      <c r="B201" s="23"/>
      <c r="C201" s="10"/>
      <c r="D201" s="10"/>
      <c r="E201" s="10"/>
      <c r="F201" s="25"/>
      <c r="G201" s="10"/>
      <c r="H201" s="25"/>
      <c r="I201" s="12" t="str">
        <f aca="false">IF(F201="","",F201+H201)</f>
        <v/>
      </c>
      <c r="J201" s="10"/>
      <c r="K201" s="10"/>
      <c r="L201" s="10" t="str">
        <f aca="false">IF(B201="","",TEXT(B201,"YYYY-MM"))</f>
        <v/>
      </c>
      <c r="M201" s="10" t="str">
        <f aca="false">IF($E201="","",IFERROR(VLOOKUP($E201,Categories!$A:$B,2,FALSE()),""))</f>
        <v/>
      </c>
    </row>
    <row r="202" customFormat="false" ht="15" hidden="false" customHeight="false" outlineLevel="0" collapsed="false">
      <c r="A202" s="10" t="str">
        <f aca="false">IF(B202="","","T"&amp;TEXT(ROW()-4,"0000"))</f>
        <v/>
      </c>
      <c r="B202" s="23"/>
      <c r="C202" s="10"/>
      <c r="D202" s="10"/>
      <c r="E202" s="10"/>
      <c r="F202" s="25"/>
      <c r="G202" s="10"/>
      <c r="H202" s="25"/>
      <c r="I202" s="12" t="str">
        <f aca="false">IF(F202="","",F202+H202)</f>
        <v/>
      </c>
      <c r="J202" s="10"/>
      <c r="K202" s="10"/>
      <c r="L202" s="10" t="str">
        <f aca="false">IF(B202="","",TEXT(B202,"YYYY-MM"))</f>
        <v/>
      </c>
      <c r="M202" s="10" t="str">
        <f aca="false">IF($E202="","",IFERROR(VLOOKUP($E202,Categories!$A:$B,2,FALSE()),""))</f>
        <v/>
      </c>
    </row>
    <row r="203" customFormat="false" ht="15" hidden="false" customHeight="false" outlineLevel="0" collapsed="false">
      <c r="A203" s="10" t="str">
        <f aca="false">IF(B203="","","T"&amp;TEXT(ROW()-4,"0000"))</f>
        <v/>
      </c>
      <c r="B203" s="23"/>
      <c r="C203" s="10"/>
      <c r="D203" s="10"/>
      <c r="E203" s="10"/>
      <c r="F203" s="25"/>
      <c r="G203" s="10"/>
      <c r="H203" s="25"/>
      <c r="I203" s="12" t="str">
        <f aca="false">IF(F203="","",F203+H203)</f>
        <v/>
      </c>
      <c r="J203" s="10"/>
      <c r="K203" s="10"/>
      <c r="L203" s="10" t="str">
        <f aca="false">IF(B203="","",TEXT(B203,"YYYY-MM"))</f>
        <v/>
      </c>
      <c r="M203" s="10" t="str">
        <f aca="false">IF($E203="","",IFERROR(VLOOKUP($E203,Categories!$A:$B,2,FALSE()),""))</f>
        <v/>
      </c>
    </row>
    <row r="204" customFormat="false" ht="15" hidden="false" customHeight="false" outlineLevel="0" collapsed="false">
      <c r="A204" s="10" t="str">
        <f aca="false">IF(B204="","","T"&amp;TEXT(ROW()-4,"0000"))</f>
        <v/>
      </c>
      <c r="B204" s="23"/>
      <c r="C204" s="10"/>
      <c r="D204" s="10"/>
      <c r="E204" s="10"/>
      <c r="F204" s="25"/>
      <c r="G204" s="10"/>
      <c r="H204" s="25"/>
      <c r="I204" s="12" t="str">
        <f aca="false">IF(F204="","",F204+H204)</f>
        <v/>
      </c>
      <c r="J204" s="10"/>
      <c r="K204" s="10"/>
      <c r="L204" s="10" t="str">
        <f aca="false">IF(B204="","",TEXT(B204,"YYYY-MM"))</f>
        <v/>
      </c>
      <c r="M204" s="10" t="str">
        <f aca="false">IF($E204="","",IFERROR(VLOOKUP($E204,Categories!$A:$B,2,FALSE()),""))</f>
        <v/>
      </c>
    </row>
    <row r="205" customFormat="false" ht="15" hidden="false" customHeight="false" outlineLevel="0" collapsed="false">
      <c r="A205" s="10" t="str">
        <f aca="false">IF(B205="","","T"&amp;TEXT(ROW()-4,"0000"))</f>
        <v/>
      </c>
      <c r="B205" s="23"/>
      <c r="C205" s="10"/>
      <c r="D205" s="10"/>
      <c r="E205" s="10"/>
      <c r="F205" s="25"/>
      <c r="G205" s="10"/>
      <c r="H205" s="25"/>
      <c r="I205" s="12" t="str">
        <f aca="false">IF(F205="","",F205+H205)</f>
        <v/>
      </c>
      <c r="J205" s="10"/>
      <c r="K205" s="10"/>
      <c r="L205" s="10" t="str">
        <f aca="false">IF(B205="","",TEXT(B205,"YYYY-MM"))</f>
        <v/>
      </c>
      <c r="M205" s="10" t="str">
        <f aca="false">IF($E205="","",IFERROR(VLOOKUP($E205,Categories!$A:$B,2,FALSE()),""))</f>
        <v/>
      </c>
    </row>
    <row r="206" customFormat="false" ht="15" hidden="false" customHeight="false" outlineLevel="0" collapsed="false">
      <c r="A206" s="10" t="str">
        <f aca="false">IF(B206="","","T"&amp;TEXT(ROW()-4,"0000"))</f>
        <v/>
      </c>
      <c r="B206" s="23"/>
      <c r="C206" s="10"/>
      <c r="D206" s="10"/>
      <c r="E206" s="10"/>
      <c r="F206" s="25"/>
      <c r="G206" s="10"/>
      <c r="H206" s="25"/>
      <c r="I206" s="12" t="str">
        <f aca="false">IF(F206="","",F206+H206)</f>
        <v/>
      </c>
      <c r="J206" s="10"/>
      <c r="K206" s="10"/>
      <c r="L206" s="10" t="str">
        <f aca="false">IF(B206="","",TEXT(B206,"YYYY-MM"))</f>
        <v/>
      </c>
      <c r="M206" s="10" t="str">
        <f aca="false">IF($E206="","",IFERROR(VLOOKUP($E206,Categories!$A:$B,2,FALSE()),""))</f>
        <v/>
      </c>
    </row>
    <row r="207" customFormat="false" ht="15" hidden="false" customHeight="false" outlineLevel="0" collapsed="false">
      <c r="A207" s="10" t="str">
        <f aca="false">IF(B207="","","T"&amp;TEXT(ROW()-4,"0000"))</f>
        <v/>
      </c>
      <c r="B207" s="23"/>
      <c r="C207" s="10"/>
      <c r="D207" s="10"/>
      <c r="E207" s="10"/>
      <c r="F207" s="25"/>
      <c r="G207" s="10"/>
      <c r="H207" s="25"/>
      <c r="I207" s="12" t="str">
        <f aca="false">IF(F207="","",F207+H207)</f>
        <v/>
      </c>
      <c r="J207" s="10"/>
      <c r="K207" s="10"/>
      <c r="L207" s="10" t="str">
        <f aca="false">IF(B207="","",TEXT(B207,"YYYY-MM"))</f>
        <v/>
      </c>
      <c r="M207" s="10" t="str">
        <f aca="false">IF($E207="","",IFERROR(VLOOKUP($E207,Categories!$A:$B,2,FALSE()),""))</f>
        <v/>
      </c>
    </row>
    <row r="208" customFormat="false" ht="15" hidden="false" customHeight="false" outlineLevel="0" collapsed="false">
      <c r="A208" s="10" t="str">
        <f aca="false">IF(B208="","","T"&amp;TEXT(ROW()-4,"0000"))</f>
        <v/>
      </c>
      <c r="B208" s="23"/>
      <c r="C208" s="10"/>
      <c r="D208" s="10"/>
      <c r="E208" s="10"/>
      <c r="F208" s="25"/>
      <c r="G208" s="10"/>
      <c r="H208" s="25"/>
      <c r="I208" s="12" t="str">
        <f aca="false">IF(F208="","",F208+H208)</f>
        <v/>
      </c>
      <c r="J208" s="10"/>
      <c r="K208" s="10"/>
      <c r="L208" s="10" t="str">
        <f aca="false">IF(B208="","",TEXT(B208,"YYYY-MM"))</f>
        <v/>
      </c>
      <c r="M208" s="10" t="str">
        <f aca="false">IF($E208="","",IFERROR(VLOOKUP($E208,Categories!$A:$B,2,FALSE()),""))</f>
        <v/>
      </c>
    </row>
    <row r="209" customFormat="false" ht="15" hidden="false" customHeight="false" outlineLevel="0" collapsed="false">
      <c r="A209" s="10" t="str">
        <f aca="false">IF(B209="","","T"&amp;TEXT(ROW()-4,"0000"))</f>
        <v/>
      </c>
      <c r="B209" s="23"/>
      <c r="C209" s="10"/>
      <c r="D209" s="10"/>
      <c r="E209" s="10"/>
      <c r="F209" s="25"/>
      <c r="G209" s="10"/>
      <c r="H209" s="25"/>
      <c r="I209" s="12" t="str">
        <f aca="false">IF(F209="","",F209+H209)</f>
        <v/>
      </c>
      <c r="J209" s="10"/>
      <c r="K209" s="10"/>
      <c r="L209" s="10" t="str">
        <f aca="false">IF(B209="","",TEXT(B209,"YYYY-MM"))</f>
        <v/>
      </c>
      <c r="M209" s="10" t="str">
        <f aca="false">IF($E209="","",IFERROR(VLOOKUP($E209,Categories!$A:$B,2,FALSE()),""))</f>
        <v/>
      </c>
    </row>
    <row r="210" customFormat="false" ht="15" hidden="false" customHeight="false" outlineLevel="0" collapsed="false">
      <c r="A210" s="10" t="str">
        <f aca="false">IF(B210="","","T"&amp;TEXT(ROW()-4,"0000"))</f>
        <v/>
      </c>
      <c r="B210" s="23"/>
      <c r="C210" s="10"/>
      <c r="D210" s="10"/>
      <c r="E210" s="10"/>
      <c r="F210" s="25"/>
      <c r="G210" s="10"/>
      <c r="H210" s="25"/>
      <c r="I210" s="12" t="str">
        <f aca="false">IF(F210="","",F210+H210)</f>
        <v/>
      </c>
      <c r="J210" s="10"/>
      <c r="K210" s="10"/>
      <c r="L210" s="10" t="str">
        <f aca="false">IF(B210="","",TEXT(B210,"YYYY-MM"))</f>
        <v/>
      </c>
      <c r="M210" s="10" t="str">
        <f aca="false">IF($E210="","",IFERROR(VLOOKUP($E210,Categories!$A:$B,2,FALSE()),""))</f>
        <v/>
      </c>
    </row>
    <row r="211" customFormat="false" ht="15" hidden="false" customHeight="false" outlineLevel="0" collapsed="false">
      <c r="A211" s="10" t="str">
        <f aca="false">IF(B211="","","T"&amp;TEXT(ROW()-4,"0000"))</f>
        <v/>
      </c>
      <c r="B211" s="23"/>
      <c r="C211" s="10"/>
      <c r="D211" s="10"/>
      <c r="E211" s="10"/>
      <c r="F211" s="25"/>
      <c r="G211" s="10"/>
      <c r="H211" s="25"/>
      <c r="I211" s="12" t="str">
        <f aca="false">IF(F211="","",F211+H211)</f>
        <v/>
      </c>
      <c r="J211" s="10"/>
      <c r="K211" s="10"/>
      <c r="L211" s="10" t="str">
        <f aca="false">IF(B211="","",TEXT(B211,"YYYY-MM"))</f>
        <v/>
      </c>
      <c r="M211" s="10" t="str">
        <f aca="false">IF($E211="","",IFERROR(VLOOKUP($E211,Categories!$A:$B,2,FALSE()),""))</f>
        <v/>
      </c>
    </row>
    <row r="212" customFormat="false" ht="15" hidden="false" customHeight="false" outlineLevel="0" collapsed="false">
      <c r="A212" s="10" t="str">
        <f aca="false">IF(B212="","","T"&amp;TEXT(ROW()-4,"0000"))</f>
        <v/>
      </c>
      <c r="B212" s="23"/>
      <c r="C212" s="10"/>
      <c r="D212" s="10"/>
      <c r="E212" s="10"/>
      <c r="F212" s="25"/>
      <c r="G212" s="10"/>
      <c r="H212" s="25"/>
      <c r="I212" s="12" t="str">
        <f aca="false">IF(F212="","",F212+H212)</f>
        <v/>
      </c>
      <c r="J212" s="10"/>
      <c r="K212" s="10"/>
      <c r="L212" s="10" t="str">
        <f aca="false">IF(B212="","",TEXT(B212,"YYYY-MM"))</f>
        <v/>
      </c>
      <c r="M212" s="10" t="str">
        <f aca="false">IF($E212="","",IFERROR(VLOOKUP($E212,Categories!$A:$B,2,FALSE()),""))</f>
        <v/>
      </c>
    </row>
    <row r="213" customFormat="false" ht="15" hidden="false" customHeight="false" outlineLevel="0" collapsed="false">
      <c r="A213" s="10" t="str">
        <f aca="false">IF(B213="","","T"&amp;TEXT(ROW()-4,"0000"))</f>
        <v/>
      </c>
      <c r="B213" s="23"/>
      <c r="C213" s="10"/>
      <c r="D213" s="10"/>
      <c r="E213" s="10"/>
      <c r="F213" s="25"/>
      <c r="G213" s="10"/>
      <c r="H213" s="25"/>
      <c r="I213" s="12" t="str">
        <f aca="false">IF(F213="","",F213+H213)</f>
        <v/>
      </c>
      <c r="J213" s="10"/>
      <c r="K213" s="10"/>
      <c r="L213" s="10" t="str">
        <f aca="false">IF(B213="","",TEXT(B213,"YYYY-MM"))</f>
        <v/>
      </c>
      <c r="M213" s="10" t="str">
        <f aca="false">IF($E213="","",IFERROR(VLOOKUP($E213,Categories!$A:$B,2,FALSE()),""))</f>
        <v/>
      </c>
    </row>
    <row r="214" customFormat="false" ht="15" hidden="false" customHeight="false" outlineLevel="0" collapsed="false">
      <c r="A214" s="10" t="str">
        <f aca="false">IF(B214="","","T"&amp;TEXT(ROW()-4,"0000"))</f>
        <v/>
      </c>
      <c r="B214" s="23"/>
      <c r="C214" s="10"/>
      <c r="D214" s="10"/>
      <c r="E214" s="10"/>
      <c r="F214" s="25"/>
      <c r="G214" s="10"/>
      <c r="H214" s="25"/>
      <c r="I214" s="12" t="str">
        <f aca="false">IF(F214="","",F214+H214)</f>
        <v/>
      </c>
      <c r="J214" s="10"/>
      <c r="K214" s="10"/>
      <c r="L214" s="10" t="str">
        <f aca="false">IF(B214="","",TEXT(B214,"YYYY-MM"))</f>
        <v/>
      </c>
      <c r="M214" s="10" t="str">
        <f aca="false">IF($E214="","",IFERROR(VLOOKUP($E214,Categories!$A:$B,2,FALSE()),""))</f>
        <v/>
      </c>
    </row>
    <row r="215" customFormat="false" ht="15" hidden="false" customHeight="false" outlineLevel="0" collapsed="false">
      <c r="A215" s="10" t="str">
        <f aca="false">IF(B215="","","T"&amp;TEXT(ROW()-4,"0000"))</f>
        <v/>
      </c>
      <c r="B215" s="23"/>
      <c r="C215" s="10"/>
      <c r="D215" s="10"/>
      <c r="E215" s="10"/>
      <c r="F215" s="25"/>
      <c r="G215" s="10"/>
      <c r="H215" s="25"/>
      <c r="I215" s="12" t="str">
        <f aca="false">IF(F215="","",F215+H215)</f>
        <v/>
      </c>
      <c r="J215" s="10"/>
      <c r="K215" s="10"/>
      <c r="L215" s="10" t="str">
        <f aca="false">IF(B215="","",TEXT(B215,"YYYY-MM"))</f>
        <v/>
      </c>
      <c r="M215" s="10" t="str">
        <f aca="false">IF($E215="","",IFERROR(VLOOKUP($E215,Categories!$A:$B,2,FALSE()),""))</f>
        <v/>
      </c>
    </row>
    <row r="216" customFormat="false" ht="15" hidden="false" customHeight="false" outlineLevel="0" collapsed="false">
      <c r="A216" s="10" t="str">
        <f aca="false">IF(B216="","","T"&amp;TEXT(ROW()-4,"0000"))</f>
        <v/>
      </c>
      <c r="B216" s="23"/>
      <c r="C216" s="10"/>
      <c r="D216" s="10"/>
      <c r="E216" s="10"/>
      <c r="F216" s="25"/>
      <c r="G216" s="10"/>
      <c r="H216" s="25"/>
      <c r="I216" s="12" t="str">
        <f aca="false">IF(F216="","",F216+H216)</f>
        <v/>
      </c>
      <c r="J216" s="10"/>
      <c r="K216" s="10"/>
      <c r="L216" s="10" t="str">
        <f aca="false">IF(B216="","",TEXT(B216,"YYYY-MM"))</f>
        <v/>
      </c>
      <c r="M216" s="10" t="str">
        <f aca="false">IF($E216="","",IFERROR(VLOOKUP($E216,Categories!$A:$B,2,FALSE()),""))</f>
        <v/>
      </c>
    </row>
    <row r="217" customFormat="false" ht="15" hidden="false" customHeight="false" outlineLevel="0" collapsed="false">
      <c r="A217" s="10" t="str">
        <f aca="false">IF(B217="","","T"&amp;TEXT(ROW()-4,"0000"))</f>
        <v/>
      </c>
      <c r="B217" s="23"/>
      <c r="C217" s="10"/>
      <c r="D217" s="10"/>
      <c r="E217" s="10"/>
      <c r="F217" s="25"/>
      <c r="G217" s="10"/>
      <c r="H217" s="25"/>
      <c r="I217" s="12" t="str">
        <f aca="false">IF(F217="","",F217+H217)</f>
        <v/>
      </c>
      <c r="J217" s="10"/>
      <c r="K217" s="10"/>
      <c r="L217" s="10" t="str">
        <f aca="false">IF(B217="","",TEXT(B217,"YYYY-MM"))</f>
        <v/>
      </c>
      <c r="M217" s="10" t="str">
        <f aca="false">IF($E217="","",IFERROR(VLOOKUP($E217,Categories!$A:$B,2,FALSE()),""))</f>
        <v/>
      </c>
    </row>
    <row r="218" customFormat="false" ht="15" hidden="false" customHeight="false" outlineLevel="0" collapsed="false">
      <c r="A218" s="10" t="str">
        <f aca="false">IF(B218="","","T"&amp;TEXT(ROW()-4,"0000"))</f>
        <v/>
      </c>
      <c r="B218" s="23"/>
      <c r="C218" s="10"/>
      <c r="D218" s="10"/>
      <c r="E218" s="10"/>
      <c r="F218" s="25"/>
      <c r="G218" s="10"/>
      <c r="H218" s="25"/>
      <c r="I218" s="12" t="str">
        <f aca="false">IF(F218="","",F218+H218)</f>
        <v/>
      </c>
      <c r="J218" s="10"/>
      <c r="K218" s="10"/>
      <c r="L218" s="10" t="str">
        <f aca="false">IF(B218="","",TEXT(B218,"YYYY-MM"))</f>
        <v/>
      </c>
      <c r="M218" s="10" t="str">
        <f aca="false">IF($E218="","",IFERROR(VLOOKUP($E218,Categories!$A:$B,2,FALSE()),""))</f>
        <v/>
      </c>
    </row>
    <row r="219" customFormat="false" ht="15" hidden="false" customHeight="false" outlineLevel="0" collapsed="false">
      <c r="A219" s="10" t="str">
        <f aca="false">IF(B219="","","T"&amp;TEXT(ROW()-4,"0000"))</f>
        <v/>
      </c>
      <c r="B219" s="23"/>
      <c r="C219" s="10"/>
      <c r="D219" s="10"/>
      <c r="E219" s="10"/>
      <c r="F219" s="25"/>
      <c r="G219" s="10"/>
      <c r="H219" s="25"/>
      <c r="I219" s="12" t="str">
        <f aca="false">IF(F219="","",F219+H219)</f>
        <v/>
      </c>
      <c r="J219" s="10"/>
      <c r="K219" s="10"/>
      <c r="L219" s="10" t="str">
        <f aca="false">IF(B219="","",TEXT(B219,"YYYY-MM"))</f>
        <v/>
      </c>
      <c r="M219" s="10" t="str">
        <f aca="false">IF($E219="","",IFERROR(VLOOKUP($E219,Categories!$A:$B,2,FALSE()),""))</f>
        <v/>
      </c>
    </row>
    <row r="220" customFormat="false" ht="15" hidden="false" customHeight="false" outlineLevel="0" collapsed="false">
      <c r="A220" s="10" t="str">
        <f aca="false">IF(B220="","","T"&amp;TEXT(ROW()-4,"0000"))</f>
        <v/>
      </c>
      <c r="B220" s="23"/>
      <c r="C220" s="10"/>
      <c r="D220" s="10"/>
      <c r="E220" s="10"/>
      <c r="F220" s="25"/>
      <c r="G220" s="10"/>
      <c r="H220" s="25"/>
      <c r="I220" s="12" t="str">
        <f aca="false">IF(F220="","",F220+H220)</f>
        <v/>
      </c>
      <c r="J220" s="10"/>
      <c r="K220" s="10"/>
      <c r="L220" s="10" t="str">
        <f aca="false">IF(B220="","",TEXT(B220,"YYYY-MM"))</f>
        <v/>
      </c>
      <c r="M220" s="10" t="str">
        <f aca="false">IF($E220="","",IFERROR(VLOOKUP($E220,Categories!$A:$B,2,FALSE()),""))</f>
        <v/>
      </c>
    </row>
    <row r="221" customFormat="false" ht="15" hidden="false" customHeight="false" outlineLevel="0" collapsed="false">
      <c r="A221" s="10" t="str">
        <f aca="false">IF(B221="","","T"&amp;TEXT(ROW()-4,"0000"))</f>
        <v/>
      </c>
      <c r="B221" s="23"/>
      <c r="C221" s="10"/>
      <c r="D221" s="10"/>
      <c r="E221" s="10"/>
      <c r="F221" s="25"/>
      <c r="G221" s="10"/>
      <c r="H221" s="25"/>
      <c r="I221" s="12" t="str">
        <f aca="false">IF(F221="","",F221+H221)</f>
        <v/>
      </c>
      <c r="J221" s="10"/>
      <c r="K221" s="10"/>
      <c r="L221" s="10" t="str">
        <f aca="false">IF(B221="","",TEXT(B221,"YYYY-MM"))</f>
        <v/>
      </c>
      <c r="M221" s="10" t="str">
        <f aca="false">IF($E221="","",IFERROR(VLOOKUP($E221,Categories!$A:$B,2,FALSE()),""))</f>
        <v/>
      </c>
    </row>
    <row r="222" customFormat="false" ht="15" hidden="false" customHeight="false" outlineLevel="0" collapsed="false">
      <c r="A222" s="10" t="str">
        <f aca="false">IF(B222="","","T"&amp;TEXT(ROW()-4,"0000"))</f>
        <v/>
      </c>
      <c r="B222" s="23"/>
      <c r="C222" s="10"/>
      <c r="D222" s="10"/>
      <c r="E222" s="10"/>
      <c r="F222" s="25"/>
      <c r="G222" s="10"/>
      <c r="H222" s="25"/>
      <c r="I222" s="12" t="str">
        <f aca="false">IF(F222="","",F222+H222)</f>
        <v/>
      </c>
      <c r="J222" s="10"/>
      <c r="K222" s="10"/>
      <c r="L222" s="10" t="str">
        <f aca="false">IF(B222="","",TEXT(B222,"YYYY-MM"))</f>
        <v/>
      </c>
      <c r="M222" s="10" t="str">
        <f aca="false">IF($E222="","",IFERROR(VLOOKUP($E222,Categories!$A:$B,2,FALSE()),""))</f>
        <v/>
      </c>
    </row>
    <row r="223" customFormat="false" ht="15" hidden="false" customHeight="false" outlineLevel="0" collapsed="false">
      <c r="A223" s="10" t="str">
        <f aca="false">IF(B223="","","T"&amp;TEXT(ROW()-4,"0000"))</f>
        <v/>
      </c>
      <c r="B223" s="23"/>
      <c r="C223" s="10"/>
      <c r="D223" s="10"/>
      <c r="E223" s="10"/>
      <c r="F223" s="25"/>
      <c r="G223" s="10"/>
      <c r="H223" s="25"/>
      <c r="I223" s="12" t="str">
        <f aca="false">IF(F223="","",F223+H223)</f>
        <v/>
      </c>
      <c r="J223" s="10"/>
      <c r="K223" s="10"/>
      <c r="L223" s="10" t="str">
        <f aca="false">IF(B223="","",TEXT(B223,"YYYY-MM"))</f>
        <v/>
      </c>
      <c r="M223" s="10" t="str">
        <f aca="false">IF($E223="","",IFERROR(VLOOKUP($E223,Categories!$A:$B,2,FALSE()),""))</f>
        <v/>
      </c>
    </row>
    <row r="224" customFormat="false" ht="15" hidden="false" customHeight="false" outlineLevel="0" collapsed="false">
      <c r="A224" s="10" t="str">
        <f aca="false">IF(B224="","","T"&amp;TEXT(ROW()-4,"0000"))</f>
        <v/>
      </c>
      <c r="B224" s="23"/>
      <c r="C224" s="10"/>
      <c r="D224" s="10"/>
      <c r="E224" s="10"/>
      <c r="F224" s="25"/>
      <c r="G224" s="10"/>
      <c r="H224" s="25"/>
      <c r="I224" s="12" t="str">
        <f aca="false">IF(F224="","",F224+H224)</f>
        <v/>
      </c>
      <c r="J224" s="10"/>
      <c r="K224" s="10"/>
      <c r="L224" s="10" t="str">
        <f aca="false">IF(B224="","",TEXT(B224,"YYYY-MM"))</f>
        <v/>
      </c>
      <c r="M224" s="10" t="str">
        <f aca="false">IF($E224="","",IFERROR(VLOOKUP($E224,Categories!$A:$B,2,FALSE()),""))</f>
        <v/>
      </c>
    </row>
    <row r="225" customFormat="false" ht="15" hidden="false" customHeight="false" outlineLevel="0" collapsed="false">
      <c r="A225" s="10" t="str">
        <f aca="false">IF(B225="","","T"&amp;TEXT(ROW()-4,"0000"))</f>
        <v/>
      </c>
      <c r="B225" s="23"/>
      <c r="C225" s="10"/>
      <c r="D225" s="10"/>
      <c r="E225" s="10"/>
      <c r="F225" s="25"/>
      <c r="G225" s="10"/>
      <c r="H225" s="25"/>
      <c r="I225" s="12" t="str">
        <f aca="false">IF(F225="","",F225+H225)</f>
        <v/>
      </c>
      <c r="J225" s="10"/>
      <c r="K225" s="10"/>
      <c r="L225" s="10" t="str">
        <f aca="false">IF(B225="","",TEXT(B225,"YYYY-MM"))</f>
        <v/>
      </c>
      <c r="M225" s="10" t="str">
        <f aca="false">IF($E225="","",IFERROR(VLOOKUP($E225,Categories!$A:$B,2,FALSE()),""))</f>
        <v/>
      </c>
    </row>
    <row r="226" customFormat="false" ht="15" hidden="false" customHeight="false" outlineLevel="0" collapsed="false">
      <c r="A226" s="10" t="str">
        <f aca="false">IF(B226="","","T"&amp;TEXT(ROW()-4,"0000"))</f>
        <v/>
      </c>
      <c r="B226" s="23"/>
      <c r="C226" s="10"/>
      <c r="D226" s="10"/>
      <c r="E226" s="10"/>
      <c r="F226" s="25"/>
      <c r="G226" s="10"/>
      <c r="H226" s="25"/>
      <c r="I226" s="12" t="str">
        <f aca="false">IF(F226="","",F226+H226)</f>
        <v/>
      </c>
      <c r="J226" s="10"/>
      <c r="K226" s="10"/>
      <c r="L226" s="10" t="str">
        <f aca="false">IF(B226="","",TEXT(B226,"YYYY-MM"))</f>
        <v/>
      </c>
      <c r="M226" s="10" t="str">
        <f aca="false">IF($E226="","",IFERROR(VLOOKUP($E226,Categories!$A:$B,2,FALSE()),""))</f>
        <v/>
      </c>
    </row>
    <row r="227" customFormat="false" ht="15" hidden="false" customHeight="false" outlineLevel="0" collapsed="false">
      <c r="A227" s="10" t="str">
        <f aca="false">IF(B227="","","T"&amp;TEXT(ROW()-4,"0000"))</f>
        <v/>
      </c>
      <c r="B227" s="23"/>
      <c r="C227" s="10"/>
      <c r="D227" s="10"/>
      <c r="E227" s="10"/>
      <c r="F227" s="25"/>
      <c r="G227" s="10"/>
      <c r="H227" s="25"/>
      <c r="I227" s="12" t="str">
        <f aca="false">IF(F227="","",F227+H227)</f>
        <v/>
      </c>
      <c r="J227" s="10"/>
      <c r="K227" s="10"/>
      <c r="L227" s="10" t="str">
        <f aca="false">IF(B227="","",TEXT(B227,"YYYY-MM"))</f>
        <v/>
      </c>
      <c r="M227" s="10" t="str">
        <f aca="false">IF($E227="","",IFERROR(VLOOKUP($E227,Categories!$A:$B,2,FALSE()),""))</f>
        <v/>
      </c>
    </row>
    <row r="228" customFormat="false" ht="15" hidden="false" customHeight="false" outlineLevel="0" collapsed="false">
      <c r="A228" s="10" t="str">
        <f aca="false">IF(B228="","","T"&amp;TEXT(ROW()-4,"0000"))</f>
        <v/>
      </c>
      <c r="B228" s="23"/>
      <c r="C228" s="10"/>
      <c r="D228" s="10"/>
      <c r="E228" s="10"/>
      <c r="F228" s="25"/>
      <c r="G228" s="10"/>
      <c r="H228" s="25"/>
      <c r="I228" s="12" t="str">
        <f aca="false">IF(F228="","",F228+H228)</f>
        <v/>
      </c>
      <c r="J228" s="10"/>
      <c r="K228" s="10"/>
      <c r="L228" s="10" t="str">
        <f aca="false">IF(B228="","",TEXT(B228,"YYYY-MM"))</f>
        <v/>
      </c>
      <c r="M228" s="10" t="str">
        <f aca="false">IF($E228="","",IFERROR(VLOOKUP($E228,Categories!$A:$B,2,FALSE()),""))</f>
        <v/>
      </c>
    </row>
    <row r="229" customFormat="false" ht="15" hidden="false" customHeight="false" outlineLevel="0" collapsed="false">
      <c r="A229" s="10" t="str">
        <f aca="false">IF(B229="","","T"&amp;TEXT(ROW()-4,"0000"))</f>
        <v/>
      </c>
      <c r="B229" s="23"/>
      <c r="C229" s="10"/>
      <c r="D229" s="10"/>
      <c r="E229" s="10"/>
      <c r="F229" s="25"/>
      <c r="G229" s="10"/>
      <c r="H229" s="25"/>
      <c r="I229" s="12" t="str">
        <f aca="false">IF(F229="","",F229+H229)</f>
        <v/>
      </c>
      <c r="J229" s="10"/>
      <c r="K229" s="10"/>
      <c r="L229" s="10" t="str">
        <f aca="false">IF(B229="","",TEXT(B229,"YYYY-MM"))</f>
        <v/>
      </c>
      <c r="M229" s="10" t="str">
        <f aca="false">IF($E229="","",IFERROR(VLOOKUP($E229,Categories!$A:$B,2,FALSE()),""))</f>
        <v/>
      </c>
    </row>
    <row r="230" customFormat="false" ht="15" hidden="false" customHeight="false" outlineLevel="0" collapsed="false">
      <c r="A230" s="10" t="str">
        <f aca="false">IF(B230="","","T"&amp;TEXT(ROW()-4,"0000"))</f>
        <v/>
      </c>
      <c r="B230" s="23"/>
      <c r="C230" s="10"/>
      <c r="D230" s="10"/>
      <c r="E230" s="10"/>
      <c r="F230" s="25"/>
      <c r="G230" s="10"/>
      <c r="H230" s="25"/>
      <c r="I230" s="12" t="str">
        <f aca="false">IF(F230="","",F230+H230)</f>
        <v/>
      </c>
      <c r="J230" s="10"/>
      <c r="K230" s="10"/>
      <c r="L230" s="10" t="str">
        <f aca="false">IF(B230="","",TEXT(B230,"YYYY-MM"))</f>
        <v/>
      </c>
      <c r="M230" s="10" t="str">
        <f aca="false">IF($E230="","",IFERROR(VLOOKUP($E230,Categories!$A:$B,2,FALSE()),""))</f>
        <v/>
      </c>
    </row>
    <row r="231" customFormat="false" ht="15" hidden="false" customHeight="false" outlineLevel="0" collapsed="false">
      <c r="A231" s="10" t="str">
        <f aca="false">IF(B231="","","T"&amp;TEXT(ROW()-4,"0000"))</f>
        <v/>
      </c>
      <c r="B231" s="23"/>
      <c r="C231" s="10"/>
      <c r="D231" s="10"/>
      <c r="E231" s="10"/>
      <c r="F231" s="25"/>
      <c r="G231" s="10"/>
      <c r="H231" s="25"/>
      <c r="I231" s="12" t="str">
        <f aca="false">IF(F231="","",F231+H231)</f>
        <v/>
      </c>
      <c r="J231" s="10"/>
      <c r="K231" s="10"/>
      <c r="L231" s="10" t="str">
        <f aca="false">IF(B231="","",TEXT(B231,"YYYY-MM"))</f>
        <v/>
      </c>
      <c r="M231" s="10" t="str">
        <f aca="false">IF($E231="","",IFERROR(VLOOKUP($E231,Categories!$A:$B,2,FALSE()),""))</f>
        <v/>
      </c>
    </row>
    <row r="232" customFormat="false" ht="15" hidden="false" customHeight="false" outlineLevel="0" collapsed="false">
      <c r="A232" s="10" t="str">
        <f aca="false">IF(B232="","","T"&amp;TEXT(ROW()-4,"0000"))</f>
        <v/>
      </c>
      <c r="B232" s="23"/>
      <c r="C232" s="10"/>
      <c r="D232" s="10"/>
      <c r="E232" s="10"/>
      <c r="F232" s="25"/>
      <c r="G232" s="10"/>
      <c r="H232" s="25"/>
      <c r="I232" s="12" t="str">
        <f aca="false">IF(F232="","",F232+H232)</f>
        <v/>
      </c>
      <c r="J232" s="10"/>
      <c r="K232" s="10"/>
      <c r="L232" s="10" t="str">
        <f aca="false">IF(B232="","",TEXT(B232,"YYYY-MM"))</f>
        <v/>
      </c>
      <c r="M232" s="10" t="str">
        <f aca="false">IF($E232="","",IFERROR(VLOOKUP($E232,Categories!$A:$B,2,FALSE()),""))</f>
        <v/>
      </c>
    </row>
    <row r="233" customFormat="false" ht="15" hidden="false" customHeight="false" outlineLevel="0" collapsed="false">
      <c r="A233" s="10" t="str">
        <f aca="false">IF(B233="","","T"&amp;TEXT(ROW()-4,"0000"))</f>
        <v/>
      </c>
      <c r="B233" s="23"/>
      <c r="C233" s="10"/>
      <c r="D233" s="10"/>
      <c r="E233" s="10"/>
      <c r="F233" s="25"/>
      <c r="G233" s="10"/>
      <c r="H233" s="25"/>
      <c r="I233" s="12" t="str">
        <f aca="false">IF(F233="","",F233+H233)</f>
        <v/>
      </c>
      <c r="J233" s="10"/>
      <c r="K233" s="10"/>
      <c r="L233" s="10" t="str">
        <f aca="false">IF(B233="","",TEXT(B233,"YYYY-MM"))</f>
        <v/>
      </c>
      <c r="M233" s="10" t="str">
        <f aca="false">IF($E233="","",IFERROR(VLOOKUP($E233,Categories!$A:$B,2,FALSE()),""))</f>
        <v/>
      </c>
    </row>
    <row r="234" customFormat="false" ht="15" hidden="false" customHeight="false" outlineLevel="0" collapsed="false">
      <c r="A234" s="10" t="str">
        <f aca="false">IF(B234="","","T"&amp;TEXT(ROW()-4,"0000"))</f>
        <v/>
      </c>
      <c r="B234" s="23"/>
      <c r="C234" s="10"/>
      <c r="D234" s="10"/>
      <c r="E234" s="10"/>
      <c r="F234" s="25"/>
      <c r="G234" s="10"/>
      <c r="H234" s="25"/>
      <c r="I234" s="12" t="str">
        <f aca="false">IF(F234="","",F234+H234)</f>
        <v/>
      </c>
      <c r="J234" s="10"/>
      <c r="K234" s="10"/>
      <c r="L234" s="10" t="str">
        <f aca="false">IF(B234="","",TEXT(B234,"YYYY-MM"))</f>
        <v/>
      </c>
      <c r="M234" s="10" t="str">
        <f aca="false">IF($E234="","",IFERROR(VLOOKUP($E234,Categories!$A:$B,2,FALSE()),""))</f>
        <v/>
      </c>
    </row>
    <row r="235" customFormat="false" ht="15" hidden="false" customHeight="false" outlineLevel="0" collapsed="false">
      <c r="A235" s="10" t="str">
        <f aca="false">IF(B235="","","T"&amp;TEXT(ROW()-4,"0000"))</f>
        <v/>
      </c>
      <c r="B235" s="23"/>
      <c r="C235" s="10"/>
      <c r="D235" s="10"/>
      <c r="E235" s="10"/>
      <c r="F235" s="25"/>
      <c r="G235" s="10"/>
      <c r="H235" s="25"/>
      <c r="I235" s="12" t="str">
        <f aca="false">IF(F235="","",F235+H235)</f>
        <v/>
      </c>
      <c r="J235" s="10"/>
      <c r="K235" s="10"/>
      <c r="L235" s="10" t="str">
        <f aca="false">IF(B235="","",TEXT(B235,"YYYY-MM"))</f>
        <v/>
      </c>
      <c r="M235" s="10" t="str">
        <f aca="false">IF($E235="","",IFERROR(VLOOKUP($E235,Categories!$A:$B,2,FALSE()),""))</f>
        <v/>
      </c>
    </row>
    <row r="236" customFormat="false" ht="15" hidden="false" customHeight="false" outlineLevel="0" collapsed="false">
      <c r="A236" s="10" t="str">
        <f aca="false">IF(B236="","","T"&amp;TEXT(ROW()-4,"0000"))</f>
        <v/>
      </c>
      <c r="B236" s="23"/>
      <c r="C236" s="10"/>
      <c r="D236" s="10"/>
      <c r="E236" s="10"/>
      <c r="F236" s="25"/>
      <c r="G236" s="10"/>
      <c r="H236" s="25"/>
      <c r="I236" s="12" t="str">
        <f aca="false">IF(F236="","",F236+H236)</f>
        <v/>
      </c>
      <c r="J236" s="10"/>
      <c r="K236" s="10"/>
      <c r="L236" s="10" t="str">
        <f aca="false">IF(B236="","",TEXT(B236,"YYYY-MM"))</f>
        <v/>
      </c>
      <c r="M236" s="10" t="str">
        <f aca="false">IF($E236="","",IFERROR(VLOOKUP($E236,Categories!$A:$B,2,FALSE()),""))</f>
        <v/>
      </c>
    </row>
    <row r="237" customFormat="false" ht="15" hidden="false" customHeight="false" outlineLevel="0" collapsed="false">
      <c r="A237" s="10" t="str">
        <f aca="false">IF(B237="","","T"&amp;TEXT(ROW()-4,"0000"))</f>
        <v/>
      </c>
      <c r="B237" s="23"/>
      <c r="C237" s="10"/>
      <c r="D237" s="10"/>
      <c r="E237" s="10"/>
      <c r="F237" s="25"/>
      <c r="G237" s="10"/>
      <c r="H237" s="25"/>
      <c r="I237" s="12" t="str">
        <f aca="false">IF(F237="","",F237+H237)</f>
        <v/>
      </c>
      <c r="J237" s="10"/>
      <c r="K237" s="10"/>
      <c r="L237" s="10" t="str">
        <f aca="false">IF(B237="","",TEXT(B237,"YYYY-MM"))</f>
        <v/>
      </c>
      <c r="M237" s="10" t="str">
        <f aca="false">IF($E237="","",IFERROR(VLOOKUP($E237,Categories!$A:$B,2,FALSE()),""))</f>
        <v/>
      </c>
    </row>
    <row r="238" customFormat="false" ht="15" hidden="false" customHeight="false" outlineLevel="0" collapsed="false">
      <c r="A238" s="10" t="str">
        <f aca="false">IF(B238="","","T"&amp;TEXT(ROW()-4,"0000"))</f>
        <v/>
      </c>
      <c r="B238" s="23"/>
      <c r="C238" s="10"/>
      <c r="D238" s="10"/>
      <c r="E238" s="10"/>
      <c r="F238" s="25"/>
      <c r="G238" s="10"/>
      <c r="H238" s="25"/>
      <c r="I238" s="12" t="str">
        <f aca="false">IF(F238="","",F238+H238)</f>
        <v/>
      </c>
      <c r="J238" s="10"/>
      <c r="K238" s="10"/>
      <c r="L238" s="10" t="str">
        <f aca="false">IF(B238="","",TEXT(B238,"YYYY-MM"))</f>
        <v/>
      </c>
      <c r="M238" s="10" t="str">
        <f aca="false">IF($E238="","",IFERROR(VLOOKUP($E238,Categories!$A:$B,2,FALSE()),""))</f>
        <v/>
      </c>
    </row>
    <row r="239" customFormat="false" ht="15" hidden="false" customHeight="false" outlineLevel="0" collapsed="false">
      <c r="A239" s="10" t="str">
        <f aca="false">IF(B239="","","T"&amp;TEXT(ROW()-4,"0000"))</f>
        <v/>
      </c>
      <c r="B239" s="23"/>
      <c r="C239" s="10"/>
      <c r="D239" s="10"/>
      <c r="E239" s="10"/>
      <c r="F239" s="25"/>
      <c r="G239" s="10"/>
      <c r="H239" s="25"/>
      <c r="I239" s="12" t="str">
        <f aca="false">IF(F239="","",F239+H239)</f>
        <v/>
      </c>
      <c r="J239" s="10"/>
      <c r="K239" s="10"/>
      <c r="L239" s="10" t="str">
        <f aca="false">IF(B239="","",TEXT(B239,"YYYY-MM"))</f>
        <v/>
      </c>
      <c r="M239" s="10" t="str">
        <f aca="false">IF($E239="","",IFERROR(VLOOKUP($E239,Categories!$A:$B,2,FALSE()),""))</f>
        <v/>
      </c>
    </row>
    <row r="240" customFormat="false" ht="15" hidden="false" customHeight="false" outlineLevel="0" collapsed="false">
      <c r="A240" s="10" t="str">
        <f aca="false">IF(B240="","","T"&amp;TEXT(ROW()-4,"0000"))</f>
        <v/>
      </c>
      <c r="B240" s="23"/>
      <c r="C240" s="10"/>
      <c r="D240" s="10"/>
      <c r="E240" s="10"/>
      <c r="F240" s="25"/>
      <c r="G240" s="10"/>
      <c r="H240" s="25"/>
      <c r="I240" s="12" t="str">
        <f aca="false">IF(F240="","",F240+H240)</f>
        <v/>
      </c>
      <c r="J240" s="10"/>
      <c r="K240" s="10"/>
      <c r="L240" s="10" t="str">
        <f aca="false">IF(B240="","",TEXT(B240,"YYYY-MM"))</f>
        <v/>
      </c>
      <c r="M240" s="10" t="str">
        <f aca="false">IF($E240="","",IFERROR(VLOOKUP($E240,Categories!$A:$B,2,FALSE()),""))</f>
        <v/>
      </c>
    </row>
    <row r="241" customFormat="false" ht="15" hidden="false" customHeight="false" outlineLevel="0" collapsed="false">
      <c r="A241" s="10" t="str">
        <f aca="false">IF(B241="","","T"&amp;TEXT(ROW()-4,"0000"))</f>
        <v/>
      </c>
      <c r="B241" s="23"/>
      <c r="C241" s="10"/>
      <c r="D241" s="10"/>
      <c r="E241" s="10"/>
      <c r="F241" s="25"/>
      <c r="G241" s="10"/>
      <c r="H241" s="25"/>
      <c r="I241" s="12" t="str">
        <f aca="false">IF(F241="","",F241+H241)</f>
        <v/>
      </c>
      <c r="J241" s="10"/>
      <c r="K241" s="10"/>
      <c r="L241" s="10" t="str">
        <f aca="false">IF(B241="","",TEXT(B241,"YYYY-MM"))</f>
        <v/>
      </c>
      <c r="M241" s="10" t="str">
        <f aca="false">IF($E241="","",IFERROR(VLOOKUP($E241,Categories!$A:$B,2,FALSE()),""))</f>
        <v/>
      </c>
    </row>
    <row r="242" customFormat="false" ht="15" hidden="false" customHeight="false" outlineLevel="0" collapsed="false">
      <c r="A242" s="10" t="str">
        <f aca="false">IF(B242="","","T"&amp;TEXT(ROW()-4,"0000"))</f>
        <v/>
      </c>
      <c r="B242" s="23"/>
      <c r="C242" s="10"/>
      <c r="D242" s="10"/>
      <c r="E242" s="10"/>
      <c r="F242" s="25"/>
      <c r="G242" s="10"/>
      <c r="H242" s="25"/>
      <c r="I242" s="12" t="str">
        <f aca="false">IF(F242="","",F242+H242)</f>
        <v/>
      </c>
      <c r="J242" s="10"/>
      <c r="K242" s="10"/>
      <c r="L242" s="10" t="str">
        <f aca="false">IF(B242="","",TEXT(B242,"YYYY-MM"))</f>
        <v/>
      </c>
      <c r="M242" s="10" t="str">
        <f aca="false">IF($E242="","",IFERROR(VLOOKUP($E242,Categories!$A:$B,2,FALSE()),""))</f>
        <v/>
      </c>
    </row>
    <row r="243" customFormat="false" ht="15" hidden="false" customHeight="false" outlineLevel="0" collapsed="false">
      <c r="A243" s="10" t="str">
        <f aca="false">IF(B243="","","T"&amp;TEXT(ROW()-4,"0000"))</f>
        <v/>
      </c>
      <c r="B243" s="23"/>
      <c r="C243" s="10"/>
      <c r="D243" s="10"/>
      <c r="E243" s="10"/>
      <c r="F243" s="25"/>
      <c r="G243" s="10"/>
      <c r="H243" s="25"/>
      <c r="I243" s="12" t="str">
        <f aca="false">IF(F243="","",F243+H243)</f>
        <v/>
      </c>
      <c r="J243" s="10"/>
      <c r="K243" s="10"/>
      <c r="L243" s="10" t="str">
        <f aca="false">IF(B243="","",TEXT(B243,"YYYY-MM"))</f>
        <v/>
      </c>
      <c r="M243" s="10" t="str">
        <f aca="false">IF($E243="","",IFERROR(VLOOKUP($E243,Categories!$A:$B,2,FALSE()),""))</f>
        <v/>
      </c>
    </row>
    <row r="244" customFormat="false" ht="15" hidden="false" customHeight="false" outlineLevel="0" collapsed="false">
      <c r="A244" s="10" t="str">
        <f aca="false">IF(B244="","","T"&amp;TEXT(ROW()-4,"0000"))</f>
        <v/>
      </c>
      <c r="B244" s="23"/>
      <c r="C244" s="10"/>
      <c r="D244" s="10"/>
      <c r="E244" s="10"/>
      <c r="F244" s="25"/>
      <c r="G244" s="10"/>
      <c r="H244" s="25"/>
      <c r="I244" s="12" t="str">
        <f aca="false">IF(F244="","",F244+H244)</f>
        <v/>
      </c>
      <c r="J244" s="10"/>
      <c r="K244" s="10"/>
      <c r="L244" s="10" t="str">
        <f aca="false">IF(B244="","",TEXT(B244,"YYYY-MM"))</f>
        <v/>
      </c>
      <c r="M244" s="10" t="str">
        <f aca="false">IF($E244="","",IFERROR(VLOOKUP($E244,Categories!$A:$B,2,FALSE()),""))</f>
        <v/>
      </c>
    </row>
    <row r="245" customFormat="false" ht="15" hidden="false" customHeight="false" outlineLevel="0" collapsed="false">
      <c r="A245" s="10" t="str">
        <f aca="false">IF(B245="","","T"&amp;TEXT(ROW()-4,"0000"))</f>
        <v/>
      </c>
      <c r="B245" s="23"/>
      <c r="C245" s="10"/>
      <c r="D245" s="10"/>
      <c r="E245" s="10"/>
      <c r="F245" s="25"/>
      <c r="G245" s="10"/>
      <c r="H245" s="25"/>
      <c r="I245" s="12" t="str">
        <f aca="false">IF(F245="","",F245+H245)</f>
        <v/>
      </c>
      <c r="J245" s="10"/>
      <c r="K245" s="10"/>
      <c r="L245" s="10" t="str">
        <f aca="false">IF(B245="","",TEXT(B245,"YYYY-MM"))</f>
        <v/>
      </c>
      <c r="M245" s="10" t="str">
        <f aca="false">IF($E245="","",IFERROR(VLOOKUP($E245,Categories!$A:$B,2,FALSE()),""))</f>
        <v/>
      </c>
    </row>
    <row r="246" customFormat="false" ht="15" hidden="false" customHeight="false" outlineLevel="0" collapsed="false">
      <c r="A246" s="10" t="str">
        <f aca="false">IF(B246="","","T"&amp;TEXT(ROW()-4,"0000"))</f>
        <v/>
      </c>
      <c r="B246" s="23"/>
      <c r="C246" s="10"/>
      <c r="D246" s="10"/>
      <c r="E246" s="10"/>
      <c r="F246" s="25"/>
      <c r="G246" s="10"/>
      <c r="H246" s="25"/>
      <c r="I246" s="12" t="str">
        <f aca="false">IF(F246="","",F246+H246)</f>
        <v/>
      </c>
      <c r="J246" s="10"/>
      <c r="K246" s="10"/>
      <c r="L246" s="10" t="str">
        <f aca="false">IF(B246="","",TEXT(B246,"YYYY-MM"))</f>
        <v/>
      </c>
      <c r="M246" s="10" t="str">
        <f aca="false">IF($E246="","",IFERROR(VLOOKUP($E246,Categories!$A:$B,2,FALSE()),""))</f>
        <v/>
      </c>
    </row>
    <row r="247" customFormat="false" ht="15" hidden="false" customHeight="false" outlineLevel="0" collapsed="false">
      <c r="A247" s="10" t="str">
        <f aca="false">IF(B247="","","T"&amp;TEXT(ROW()-4,"0000"))</f>
        <v/>
      </c>
      <c r="B247" s="23"/>
      <c r="C247" s="10"/>
      <c r="D247" s="10"/>
      <c r="E247" s="10"/>
      <c r="F247" s="25"/>
      <c r="G247" s="10"/>
      <c r="H247" s="25"/>
      <c r="I247" s="12" t="str">
        <f aca="false">IF(F247="","",F247+H247)</f>
        <v/>
      </c>
      <c r="J247" s="10"/>
      <c r="K247" s="10"/>
      <c r="L247" s="10" t="str">
        <f aca="false">IF(B247="","",TEXT(B247,"YYYY-MM"))</f>
        <v/>
      </c>
      <c r="M247" s="10" t="str">
        <f aca="false">IF($E247="","",IFERROR(VLOOKUP($E247,Categories!$A:$B,2,FALSE()),""))</f>
        <v/>
      </c>
    </row>
    <row r="248" customFormat="false" ht="15" hidden="false" customHeight="false" outlineLevel="0" collapsed="false">
      <c r="A248" s="10" t="str">
        <f aca="false">IF(B248="","","T"&amp;TEXT(ROW()-4,"0000"))</f>
        <v/>
      </c>
      <c r="B248" s="23"/>
      <c r="C248" s="10"/>
      <c r="D248" s="10"/>
      <c r="E248" s="10"/>
      <c r="F248" s="25"/>
      <c r="G248" s="10"/>
      <c r="H248" s="25"/>
      <c r="I248" s="12" t="str">
        <f aca="false">IF(F248="","",F248+H248)</f>
        <v/>
      </c>
      <c r="J248" s="10"/>
      <c r="K248" s="10"/>
      <c r="L248" s="10" t="str">
        <f aca="false">IF(B248="","",TEXT(B248,"YYYY-MM"))</f>
        <v/>
      </c>
      <c r="M248" s="10" t="str">
        <f aca="false">IF($E248="","",IFERROR(VLOOKUP($E248,Categories!$A:$B,2,FALSE()),""))</f>
        <v/>
      </c>
    </row>
    <row r="249" customFormat="false" ht="15" hidden="false" customHeight="false" outlineLevel="0" collapsed="false">
      <c r="A249" s="10" t="str">
        <f aca="false">IF(B249="","","T"&amp;TEXT(ROW()-4,"0000"))</f>
        <v/>
      </c>
      <c r="B249" s="23"/>
      <c r="C249" s="10"/>
      <c r="D249" s="10"/>
      <c r="E249" s="10"/>
      <c r="F249" s="25"/>
      <c r="G249" s="10"/>
      <c r="H249" s="25"/>
      <c r="I249" s="12" t="str">
        <f aca="false">IF(F249="","",F249+H249)</f>
        <v/>
      </c>
      <c r="J249" s="10"/>
      <c r="K249" s="10"/>
      <c r="L249" s="10" t="str">
        <f aca="false">IF(B249="","",TEXT(B249,"YYYY-MM"))</f>
        <v/>
      </c>
      <c r="M249" s="10" t="str">
        <f aca="false">IF($E249="","",IFERROR(VLOOKUP($E249,Categories!$A:$B,2,FALSE()),""))</f>
        <v/>
      </c>
    </row>
    <row r="250" customFormat="false" ht="15" hidden="false" customHeight="false" outlineLevel="0" collapsed="false">
      <c r="A250" s="10" t="str">
        <f aca="false">IF(B250="","","T"&amp;TEXT(ROW()-4,"0000"))</f>
        <v/>
      </c>
      <c r="B250" s="23"/>
      <c r="C250" s="10"/>
      <c r="D250" s="10"/>
      <c r="E250" s="10"/>
      <c r="F250" s="25"/>
      <c r="G250" s="10"/>
      <c r="H250" s="25"/>
      <c r="I250" s="12" t="str">
        <f aca="false">IF(F250="","",F250+H250)</f>
        <v/>
      </c>
      <c r="J250" s="10"/>
      <c r="K250" s="10"/>
      <c r="L250" s="10" t="str">
        <f aca="false">IF(B250="","",TEXT(B250,"YYYY-MM"))</f>
        <v/>
      </c>
      <c r="M250" s="10" t="str">
        <f aca="false">IF($E250="","",IFERROR(VLOOKUP($E250,Categories!$A:$B,2,FALSE()),""))</f>
        <v/>
      </c>
    </row>
    <row r="251" customFormat="false" ht="15" hidden="false" customHeight="false" outlineLevel="0" collapsed="false">
      <c r="A251" s="10" t="str">
        <f aca="false">IF(B251="","","T"&amp;TEXT(ROW()-4,"0000"))</f>
        <v/>
      </c>
      <c r="B251" s="23"/>
      <c r="C251" s="10"/>
      <c r="D251" s="10"/>
      <c r="E251" s="10"/>
      <c r="F251" s="25"/>
      <c r="G251" s="10"/>
      <c r="H251" s="25"/>
      <c r="I251" s="12" t="str">
        <f aca="false">IF(F251="","",F251+H251)</f>
        <v/>
      </c>
      <c r="J251" s="10"/>
      <c r="K251" s="10"/>
      <c r="L251" s="10" t="str">
        <f aca="false">IF(B251="","",TEXT(B251,"YYYY-MM"))</f>
        <v/>
      </c>
      <c r="M251" s="10" t="str">
        <f aca="false">IF($E251="","",IFERROR(VLOOKUP($E251,Categories!$A:$B,2,FALSE()),""))</f>
        <v/>
      </c>
    </row>
    <row r="252" customFormat="false" ht="15" hidden="false" customHeight="false" outlineLevel="0" collapsed="false">
      <c r="A252" s="10" t="str">
        <f aca="false">IF(B252="","","T"&amp;TEXT(ROW()-4,"0000"))</f>
        <v/>
      </c>
      <c r="B252" s="23"/>
      <c r="C252" s="10"/>
      <c r="D252" s="10"/>
      <c r="E252" s="10"/>
      <c r="F252" s="25"/>
      <c r="G252" s="10"/>
      <c r="H252" s="25"/>
      <c r="I252" s="12" t="str">
        <f aca="false">IF(F252="","",F252+H252)</f>
        <v/>
      </c>
      <c r="J252" s="10"/>
      <c r="K252" s="10"/>
      <c r="L252" s="10" t="str">
        <f aca="false">IF(B252="","",TEXT(B252,"YYYY-MM"))</f>
        <v/>
      </c>
      <c r="M252" s="10" t="str">
        <f aca="false">IF($E252="","",IFERROR(VLOOKUP($E252,Categories!$A:$B,2,FALSE()),""))</f>
        <v/>
      </c>
    </row>
    <row r="253" customFormat="false" ht="15" hidden="false" customHeight="false" outlineLevel="0" collapsed="false">
      <c r="A253" s="10" t="str">
        <f aca="false">IF(B253="","","T"&amp;TEXT(ROW()-4,"0000"))</f>
        <v/>
      </c>
      <c r="B253" s="23"/>
      <c r="C253" s="10"/>
      <c r="D253" s="10"/>
      <c r="E253" s="10"/>
      <c r="F253" s="25"/>
      <c r="G253" s="10"/>
      <c r="H253" s="25"/>
      <c r="I253" s="12" t="str">
        <f aca="false">IF(F253="","",F253+H253)</f>
        <v/>
      </c>
      <c r="J253" s="10"/>
      <c r="K253" s="10"/>
      <c r="L253" s="10" t="str">
        <f aca="false">IF(B253="","",TEXT(B253,"YYYY-MM"))</f>
        <v/>
      </c>
      <c r="M253" s="10" t="str">
        <f aca="false">IF($E253="","",IFERROR(VLOOKUP($E253,Categories!$A:$B,2,FALSE()),""))</f>
        <v/>
      </c>
    </row>
    <row r="254" customFormat="false" ht="15" hidden="false" customHeight="false" outlineLevel="0" collapsed="false">
      <c r="A254" s="10" t="str">
        <f aca="false">IF(B254="","","T"&amp;TEXT(ROW()-4,"0000"))</f>
        <v/>
      </c>
      <c r="B254" s="23"/>
      <c r="C254" s="10"/>
      <c r="D254" s="10"/>
      <c r="E254" s="10"/>
      <c r="F254" s="25"/>
      <c r="G254" s="10"/>
      <c r="H254" s="25"/>
      <c r="I254" s="12" t="str">
        <f aca="false">IF(F254="","",F254+H254)</f>
        <v/>
      </c>
      <c r="J254" s="10"/>
      <c r="K254" s="10"/>
      <c r="L254" s="10" t="str">
        <f aca="false">IF(B254="","",TEXT(B254,"YYYY-MM"))</f>
        <v/>
      </c>
      <c r="M254" s="10" t="str">
        <f aca="false">IF($E254="","",IFERROR(VLOOKUP($E254,Categories!$A:$B,2,FALSE()),""))</f>
        <v/>
      </c>
    </row>
    <row r="255" customFormat="false" ht="15" hidden="false" customHeight="false" outlineLevel="0" collapsed="false">
      <c r="A255" s="10" t="str">
        <f aca="false">IF(B255="","","T"&amp;TEXT(ROW()-4,"0000"))</f>
        <v/>
      </c>
      <c r="B255" s="23"/>
      <c r="C255" s="10"/>
      <c r="D255" s="10"/>
      <c r="E255" s="10"/>
      <c r="F255" s="25"/>
      <c r="G255" s="10"/>
      <c r="H255" s="25"/>
      <c r="I255" s="12" t="str">
        <f aca="false">IF(F255="","",F255+H255)</f>
        <v/>
      </c>
      <c r="J255" s="10"/>
      <c r="K255" s="10"/>
      <c r="L255" s="10" t="str">
        <f aca="false">IF(B255="","",TEXT(B255,"YYYY-MM"))</f>
        <v/>
      </c>
      <c r="M255" s="10" t="str">
        <f aca="false">IF($E255="","",IFERROR(VLOOKUP($E255,Categories!$A:$B,2,FALSE()),""))</f>
        <v/>
      </c>
    </row>
    <row r="256" customFormat="false" ht="15" hidden="false" customHeight="false" outlineLevel="0" collapsed="false">
      <c r="A256" s="10" t="str">
        <f aca="false">IF(B256="","","T"&amp;TEXT(ROW()-4,"0000"))</f>
        <v/>
      </c>
      <c r="B256" s="23"/>
      <c r="C256" s="10"/>
      <c r="D256" s="10"/>
      <c r="E256" s="10"/>
      <c r="F256" s="25"/>
      <c r="G256" s="10"/>
      <c r="H256" s="25"/>
      <c r="I256" s="12" t="str">
        <f aca="false">IF(F256="","",F256+H256)</f>
        <v/>
      </c>
      <c r="J256" s="10"/>
      <c r="K256" s="10"/>
      <c r="L256" s="10" t="str">
        <f aca="false">IF(B256="","",TEXT(B256,"YYYY-MM"))</f>
        <v/>
      </c>
      <c r="M256" s="10" t="str">
        <f aca="false">IF($E256="","",IFERROR(VLOOKUP($E256,Categories!$A:$B,2,FALSE()),""))</f>
        <v/>
      </c>
    </row>
    <row r="257" customFormat="false" ht="15" hidden="false" customHeight="false" outlineLevel="0" collapsed="false">
      <c r="A257" s="10" t="str">
        <f aca="false">IF(B257="","","T"&amp;TEXT(ROW()-4,"0000"))</f>
        <v/>
      </c>
      <c r="B257" s="23"/>
      <c r="C257" s="10"/>
      <c r="D257" s="10"/>
      <c r="E257" s="10"/>
      <c r="F257" s="25"/>
      <c r="G257" s="10"/>
      <c r="H257" s="25"/>
      <c r="I257" s="12" t="str">
        <f aca="false">IF(F257="","",F257+H257)</f>
        <v/>
      </c>
      <c r="J257" s="10"/>
      <c r="K257" s="10"/>
      <c r="L257" s="10" t="str">
        <f aca="false">IF(B257="","",TEXT(B257,"YYYY-MM"))</f>
        <v/>
      </c>
      <c r="M257" s="10" t="str">
        <f aca="false">IF($E257="","",IFERROR(VLOOKUP($E257,Categories!$A:$B,2,FALSE()),""))</f>
        <v/>
      </c>
    </row>
    <row r="258" customFormat="false" ht="15" hidden="false" customHeight="false" outlineLevel="0" collapsed="false">
      <c r="A258" s="10" t="str">
        <f aca="false">IF(B258="","","T"&amp;TEXT(ROW()-4,"0000"))</f>
        <v/>
      </c>
      <c r="B258" s="23"/>
      <c r="C258" s="10"/>
      <c r="D258" s="10"/>
      <c r="E258" s="10"/>
      <c r="F258" s="25"/>
      <c r="G258" s="10"/>
      <c r="H258" s="25"/>
      <c r="I258" s="12" t="str">
        <f aca="false">IF(F258="","",F258+H258)</f>
        <v/>
      </c>
      <c r="J258" s="10"/>
      <c r="K258" s="10"/>
      <c r="L258" s="10" t="str">
        <f aca="false">IF(B258="","",TEXT(B258,"YYYY-MM"))</f>
        <v/>
      </c>
      <c r="M258" s="10" t="str">
        <f aca="false">IF($E258="","",IFERROR(VLOOKUP($E258,Categories!$A:$B,2,FALSE()),""))</f>
        <v/>
      </c>
    </row>
    <row r="259" customFormat="false" ht="15" hidden="false" customHeight="false" outlineLevel="0" collapsed="false">
      <c r="A259" s="10" t="str">
        <f aca="false">IF(B259="","","T"&amp;TEXT(ROW()-4,"0000"))</f>
        <v/>
      </c>
      <c r="B259" s="23"/>
      <c r="C259" s="10"/>
      <c r="D259" s="10"/>
      <c r="E259" s="10"/>
      <c r="F259" s="25"/>
      <c r="G259" s="10"/>
      <c r="H259" s="25"/>
      <c r="I259" s="12" t="str">
        <f aca="false">IF(F259="","",F259+H259)</f>
        <v/>
      </c>
      <c r="J259" s="10"/>
      <c r="K259" s="10"/>
      <c r="L259" s="10" t="str">
        <f aca="false">IF(B259="","",TEXT(B259,"YYYY-MM"))</f>
        <v/>
      </c>
      <c r="M259" s="10" t="str">
        <f aca="false">IF($E259="","",IFERROR(VLOOKUP($E259,Categories!$A:$B,2,FALSE()),""))</f>
        <v/>
      </c>
    </row>
    <row r="260" customFormat="false" ht="15" hidden="false" customHeight="false" outlineLevel="0" collapsed="false">
      <c r="A260" s="10" t="str">
        <f aca="false">IF(B260="","","T"&amp;TEXT(ROW()-4,"0000"))</f>
        <v/>
      </c>
      <c r="B260" s="23"/>
      <c r="C260" s="10"/>
      <c r="D260" s="10"/>
      <c r="E260" s="10"/>
      <c r="F260" s="25"/>
      <c r="G260" s="10"/>
      <c r="H260" s="25"/>
      <c r="I260" s="12" t="str">
        <f aca="false">IF(F260="","",F260+H260)</f>
        <v/>
      </c>
      <c r="J260" s="10"/>
      <c r="K260" s="10"/>
      <c r="L260" s="10" t="str">
        <f aca="false">IF(B260="","",TEXT(B260,"YYYY-MM"))</f>
        <v/>
      </c>
      <c r="M260" s="10" t="str">
        <f aca="false">IF($E260="","",IFERROR(VLOOKUP($E260,Categories!$A:$B,2,FALSE()),""))</f>
        <v/>
      </c>
    </row>
    <row r="261" customFormat="false" ht="15" hidden="false" customHeight="false" outlineLevel="0" collapsed="false">
      <c r="A261" s="10" t="str">
        <f aca="false">IF(B261="","","T"&amp;TEXT(ROW()-4,"0000"))</f>
        <v/>
      </c>
      <c r="B261" s="23"/>
      <c r="C261" s="10"/>
      <c r="D261" s="10"/>
      <c r="E261" s="10"/>
      <c r="F261" s="25"/>
      <c r="G261" s="10"/>
      <c r="H261" s="25"/>
      <c r="I261" s="12" t="str">
        <f aca="false">IF(F261="","",F261+H261)</f>
        <v/>
      </c>
      <c r="J261" s="10"/>
      <c r="K261" s="10"/>
      <c r="L261" s="10" t="str">
        <f aca="false">IF(B261="","",TEXT(B261,"YYYY-MM"))</f>
        <v/>
      </c>
      <c r="M261" s="10" t="str">
        <f aca="false">IF($E261="","",IFERROR(VLOOKUP($E261,Categories!$A:$B,2,FALSE()),""))</f>
        <v/>
      </c>
    </row>
    <row r="262" customFormat="false" ht="15" hidden="false" customHeight="false" outlineLevel="0" collapsed="false">
      <c r="A262" s="10" t="str">
        <f aca="false">IF(B262="","","T"&amp;TEXT(ROW()-4,"0000"))</f>
        <v/>
      </c>
      <c r="B262" s="23"/>
      <c r="C262" s="10"/>
      <c r="D262" s="10"/>
      <c r="E262" s="10"/>
      <c r="F262" s="25"/>
      <c r="G262" s="10"/>
      <c r="H262" s="25"/>
      <c r="I262" s="12" t="str">
        <f aca="false">IF(F262="","",F262+H262)</f>
        <v/>
      </c>
      <c r="J262" s="10"/>
      <c r="K262" s="10"/>
      <c r="L262" s="10" t="str">
        <f aca="false">IF(B262="","",TEXT(B262,"YYYY-MM"))</f>
        <v/>
      </c>
      <c r="M262" s="10" t="str">
        <f aca="false">IF($E262="","",IFERROR(VLOOKUP($E262,Categories!$A:$B,2,FALSE()),""))</f>
        <v/>
      </c>
    </row>
    <row r="263" customFormat="false" ht="15" hidden="false" customHeight="false" outlineLevel="0" collapsed="false">
      <c r="A263" s="10" t="str">
        <f aca="false">IF(B263="","","T"&amp;TEXT(ROW()-4,"0000"))</f>
        <v/>
      </c>
      <c r="B263" s="23"/>
      <c r="C263" s="10"/>
      <c r="D263" s="10"/>
      <c r="E263" s="10"/>
      <c r="F263" s="25"/>
      <c r="G263" s="10"/>
      <c r="H263" s="25"/>
      <c r="I263" s="12" t="str">
        <f aca="false">IF(F263="","",F263+H263)</f>
        <v/>
      </c>
      <c r="J263" s="10"/>
      <c r="K263" s="10"/>
      <c r="L263" s="10" t="str">
        <f aca="false">IF(B263="","",TEXT(B263,"YYYY-MM"))</f>
        <v/>
      </c>
      <c r="M263" s="10" t="str">
        <f aca="false">IF($E263="","",IFERROR(VLOOKUP($E263,Categories!$A:$B,2,FALSE()),""))</f>
        <v/>
      </c>
    </row>
    <row r="264" customFormat="false" ht="15" hidden="false" customHeight="false" outlineLevel="0" collapsed="false">
      <c r="A264" s="10" t="str">
        <f aca="false">IF(B264="","","T"&amp;TEXT(ROW()-4,"0000"))</f>
        <v/>
      </c>
      <c r="B264" s="23"/>
      <c r="C264" s="10"/>
      <c r="D264" s="10"/>
      <c r="E264" s="10"/>
      <c r="F264" s="25"/>
      <c r="G264" s="10"/>
      <c r="H264" s="25"/>
      <c r="I264" s="12" t="str">
        <f aca="false">IF(F264="","",F264+H264)</f>
        <v/>
      </c>
      <c r="J264" s="10"/>
      <c r="K264" s="10"/>
      <c r="L264" s="10" t="str">
        <f aca="false">IF(B264="","",TEXT(B264,"YYYY-MM"))</f>
        <v/>
      </c>
      <c r="M264" s="10" t="str">
        <f aca="false">IF($E264="","",IFERROR(VLOOKUP($E264,Categories!$A:$B,2,FALSE()),""))</f>
        <v/>
      </c>
    </row>
    <row r="265" customFormat="false" ht="15" hidden="false" customHeight="false" outlineLevel="0" collapsed="false">
      <c r="A265" s="10" t="str">
        <f aca="false">IF(B265="","","T"&amp;TEXT(ROW()-4,"0000"))</f>
        <v/>
      </c>
      <c r="B265" s="23"/>
      <c r="C265" s="10"/>
      <c r="D265" s="10"/>
      <c r="E265" s="10"/>
      <c r="F265" s="25"/>
      <c r="G265" s="10"/>
      <c r="H265" s="25"/>
      <c r="I265" s="12" t="str">
        <f aca="false">IF(F265="","",F265+H265)</f>
        <v/>
      </c>
      <c r="J265" s="10"/>
      <c r="K265" s="10"/>
      <c r="L265" s="10" t="str">
        <f aca="false">IF(B265="","",TEXT(B265,"YYYY-MM"))</f>
        <v/>
      </c>
      <c r="M265" s="10" t="str">
        <f aca="false">IF($E265="","",IFERROR(VLOOKUP($E265,Categories!$A:$B,2,FALSE()),""))</f>
        <v/>
      </c>
    </row>
    <row r="266" customFormat="false" ht="15" hidden="false" customHeight="false" outlineLevel="0" collapsed="false">
      <c r="A266" s="10" t="str">
        <f aca="false">IF(B266="","","T"&amp;TEXT(ROW()-4,"0000"))</f>
        <v/>
      </c>
      <c r="B266" s="23"/>
      <c r="C266" s="10"/>
      <c r="D266" s="10"/>
      <c r="E266" s="10"/>
      <c r="F266" s="25"/>
      <c r="G266" s="10"/>
      <c r="H266" s="25"/>
      <c r="I266" s="12" t="str">
        <f aca="false">IF(F266="","",F266+H266)</f>
        <v/>
      </c>
      <c r="J266" s="10"/>
      <c r="K266" s="10"/>
      <c r="L266" s="10" t="str">
        <f aca="false">IF(B266="","",TEXT(B266,"YYYY-MM"))</f>
        <v/>
      </c>
      <c r="M266" s="10" t="str">
        <f aca="false">IF($E266="","",IFERROR(VLOOKUP($E266,Categories!$A:$B,2,FALSE()),""))</f>
        <v/>
      </c>
    </row>
    <row r="267" customFormat="false" ht="15" hidden="false" customHeight="false" outlineLevel="0" collapsed="false">
      <c r="A267" s="10" t="str">
        <f aca="false">IF(B267="","","T"&amp;TEXT(ROW()-4,"0000"))</f>
        <v/>
      </c>
      <c r="B267" s="23"/>
      <c r="C267" s="10"/>
      <c r="D267" s="10"/>
      <c r="E267" s="10"/>
      <c r="F267" s="25"/>
      <c r="G267" s="10"/>
      <c r="H267" s="25"/>
      <c r="I267" s="12" t="str">
        <f aca="false">IF(F267="","",F267+H267)</f>
        <v/>
      </c>
      <c r="J267" s="10"/>
      <c r="K267" s="10"/>
      <c r="L267" s="10" t="str">
        <f aca="false">IF(B267="","",TEXT(B267,"YYYY-MM"))</f>
        <v/>
      </c>
      <c r="M267" s="10" t="str">
        <f aca="false">IF($E267="","",IFERROR(VLOOKUP($E267,Categories!$A:$B,2,FALSE()),""))</f>
        <v/>
      </c>
    </row>
    <row r="268" customFormat="false" ht="15" hidden="false" customHeight="false" outlineLevel="0" collapsed="false">
      <c r="A268" s="10" t="str">
        <f aca="false">IF(B268="","","T"&amp;TEXT(ROW()-4,"0000"))</f>
        <v/>
      </c>
      <c r="B268" s="23"/>
      <c r="C268" s="10"/>
      <c r="D268" s="10"/>
      <c r="E268" s="10"/>
      <c r="F268" s="25"/>
      <c r="G268" s="10"/>
      <c r="H268" s="25"/>
      <c r="I268" s="12" t="str">
        <f aca="false">IF(F268="","",F268+H268)</f>
        <v/>
      </c>
      <c r="J268" s="10"/>
      <c r="K268" s="10"/>
      <c r="L268" s="10" t="str">
        <f aca="false">IF(B268="","",TEXT(B268,"YYYY-MM"))</f>
        <v/>
      </c>
      <c r="M268" s="10" t="str">
        <f aca="false">IF($E268="","",IFERROR(VLOOKUP($E268,Categories!$A:$B,2,FALSE()),""))</f>
        <v/>
      </c>
    </row>
    <row r="269" customFormat="false" ht="15" hidden="false" customHeight="false" outlineLevel="0" collapsed="false">
      <c r="A269" s="10" t="str">
        <f aca="false">IF(B269="","","T"&amp;TEXT(ROW()-4,"0000"))</f>
        <v/>
      </c>
      <c r="B269" s="23"/>
      <c r="C269" s="10"/>
      <c r="D269" s="10"/>
      <c r="E269" s="10"/>
      <c r="F269" s="25"/>
      <c r="G269" s="10"/>
      <c r="H269" s="25"/>
      <c r="I269" s="12" t="str">
        <f aca="false">IF(F269="","",F269+H269)</f>
        <v/>
      </c>
      <c r="J269" s="10"/>
      <c r="K269" s="10"/>
      <c r="L269" s="10" t="str">
        <f aca="false">IF(B269="","",TEXT(B269,"YYYY-MM"))</f>
        <v/>
      </c>
      <c r="M269" s="10" t="str">
        <f aca="false">IF($E269="","",IFERROR(VLOOKUP($E269,Categories!$A:$B,2,FALSE()),""))</f>
        <v/>
      </c>
    </row>
    <row r="270" customFormat="false" ht="15" hidden="false" customHeight="false" outlineLevel="0" collapsed="false">
      <c r="A270" s="10" t="str">
        <f aca="false">IF(B270="","","T"&amp;TEXT(ROW()-4,"0000"))</f>
        <v/>
      </c>
      <c r="B270" s="23"/>
      <c r="C270" s="10"/>
      <c r="D270" s="10"/>
      <c r="E270" s="10"/>
      <c r="F270" s="25"/>
      <c r="G270" s="10"/>
      <c r="H270" s="25"/>
      <c r="I270" s="12" t="str">
        <f aca="false">IF(F270="","",F270+H270)</f>
        <v/>
      </c>
      <c r="J270" s="10"/>
      <c r="K270" s="10"/>
      <c r="L270" s="10" t="str">
        <f aca="false">IF(B270="","",TEXT(B270,"YYYY-MM"))</f>
        <v/>
      </c>
      <c r="M270" s="10" t="str">
        <f aca="false">IF($E270="","",IFERROR(VLOOKUP($E270,Categories!$A:$B,2,FALSE()),""))</f>
        <v/>
      </c>
    </row>
    <row r="271" customFormat="false" ht="15" hidden="false" customHeight="false" outlineLevel="0" collapsed="false">
      <c r="A271" s="10" t="str">
        <f aca="false">IF(B271="","","T"&amp;TEXT(ROW()-4,"0000"))</f>
        <v/>
      </c>
      <c r="B271" s="23"/>
      <c r="C271" s="10"/>
      <c r="D271" s="10"/>
      <c r="E271" s="10"/>
      <c r="F271" s="25"/>
      <c r="G271" s="10"/>
      <c r="H271" s="25"/>
      <c r="I271" s="12" t="str">
        <f aca="false">IF(F271="","",F271+H271)</f>
        <v/>
      </c>
      <c r="J271" s="10"/>
      <c r="K271" s="10"/>
      <c r="L271" s="10" t="str">
        <f aca="false">IF(B271="","",TEXT(B271,"YYYY-MM"))</f>
        <v/>
      </c>
      <c r="M271" s="10" t="str">
        <f aca="false">IF($E271="","",IFERROR(VLOOKUP($E271,Categories!$A:$B,2,FALSE()),""))</f>
        <v/>
      </c>
    </row>
    <row r="272" customFormat="false" ht="15" hidden="false" customHeight="false" outlineLevel="0" collapsed="false">
      <c r="A272" s="10" t="str">
        <f aca="false">IF(B272="","","T"&amp;TEXT(ROW()-4,"0000"))</f>
        <v/>
      </c>
      <c r="B272" s="23"/>
      <c r="C272" s="10"/>
      <c r="D272" s="10"/>
      <c r="E272" s="10"/>
      <c r="F272" s="25"/>
      <c r="G272" s="10"/>
      <c r="H272" s="25"/>
      <c r="I272" s="12" t="str">
        <f aca="false">IF(F272="","",F272+H272)</f>
        <v/>
      </c>
      <c r="J272" s="10"/>
      <c r="K272" s="10"/>
      <c r="L272" s="10" t="str">
        <f aca="false">IF(B272="","",TEXT(B272,"YYYY-MM"))</f>
        <v/>
      </c>
      <c r="M272" s="10" t="str">
        <f aca="false">IF($E272="","",IFERROR(VLOOKUP($E272,Categories!$A:$B,2,FALSE()),""))</f>
        <v/>
      </c>
    </row>
    <row r="273" customFormat="false" ht="15" hidden="false" customHeight="false" outlineLevel="0" collapsed="false">
      <c r="A273" s="10" t="str">
        <f aca="false">IF(B273="","","T"&amp;TEXT(ROW()-4,"0000"))</f>
        <v/>
      </c>
      <c r="B273" s="23"/>
      <c r="C273" s="10"/>
      <c r="D273" s="10"/>
      <c r="E273" s="10"/>
      <c r="F273" s="25"/>
      <c r="G273" s="10"/>
      <c r="H273" s="25"/>
      <c r="I273" s="12" t="str">
        <f aca="false">IF(F273="","",F273+H273)</f>
        <v/>
      </c>
      <c r="J273" s="10"/>
      <c r="K273" s="10"/>
      <c r="L273" s="10" t="str">
        <f aca="false">IF(B273="","",TEXT(B273,"YYYY-MM"))</f>
        <v/>
      </c>
      <c r="M273" s="10" t="str">
        <f aca="false">IF($E273="","",IFERROR(VLOOKUP($E273,Categories!$A:$B,2,FALSE()),""))</f>
        <v/>
      </c>
    </row>
    <row r="274" customFormat="false" ht="15" hidden="false" customHeight="false" outlineLevel="0" collapsed="false">
      <c r="A274" s="10" t="str">
        <f aca="false">IF(B274="","","T"&amp;TEXT(ROW()-4,"0000"))</f>
        <v/>
      </c>
      <c r="B274" s="23"/>
      <c r="C274" s="10"/>
      <c r="D274" s="10"/>
      <c r="E274" s="10"/>
      <c r="F274" s="25"/>
      <c r="G274" s="10"/>
      <c r="H274" s="25"/>
      <c r="I274" s="12" t="str">
        <f aca="false">IF(F274="","",F274+H274)</f>
        <v/>
      </c>
      <c r="J274" s="10"/>
      <c r="K274" s="10"/>
      <c r="L274" s="10" t="str">
        <f aca="false">IF(B274="","",TEXT(B274,"YYYY-MM"))</f>
        <v/>
      </c>
      <c r="M274" s="10" t="str">
        <f aca="false">IF($E274="","",IFERROR(VLOOKUP($E274,Categories!$A:$B,2,FALSE()),""))</f>
        <v/>
      </c>
    </row>
    <row r="275" customFormat="false" ht="15" hidden="false" customHeight="false" outlineLevel="0" collapsed="false">
      <c r="A275" s="10" t="str">
        <f aca="false">IF(B275="","","T"&amp;TEXT(ROW()-4,"0000"))</f>
        <v/>
      </c>
      <c r="B275" s="23"/>
      <c r="C275" s="10"/>
      <c r="D275" s="10"/>
      <c r="E275" s="10"/>
      <c r="F275" s="25"/>
      <c r="G275" s="10"/>
      <c r="H275" s="25"/>
      <c r="I275" s="12" t="str">
        <f aca="false">IF(F275="","",F275+H275)</f>
        <v/>
      </c>
      <c r="J275" s="10"/>
      <c r="K275" s="10"/>
      <c r="L275" s="10" t="str">
        <f aca="false">IF(B275="","",TEXT(B275,"YYYY-MM"))</f>
        <v/>
      </c>
      <c r="M275" s="10" t="str">
        <f aca="false">IF($E275="","",IFERROR(VLOOKUP($E275,Categories!$A:$B,2,FALSE()),""))</f>
        <v/>
      </c>
    </row>
    <row r="276" customFormat="false" ht="15" hidden="false" customHeight="false" outlineLevel="0" collapsed="false">
      <c r="A276" s="10" t="str">
        <f aca="false">IF(B276="","","T"&amp;TEXT(ROW()-4,"0000"))</f>
        <v/>
      </c>
      <c r="B276" s="23"/>
      <c r="C276" s="10"/>
      <c r="D276" s="10"/>
      <c r="E276" s="10"/>
      <c r="F276" s="25"/>
      <c r="G276" s="10"/>
      <c r="H276" s="25"/>
      <c r="I276" s="12" t="str">
        <f aca="false">IF(F276="","",F276+H276)</f>
        <v/>
      </c>
      <c r="J276" s="10"/>
      <c r="K276" s="10"/>
      <c r="L276" s="10" t="str">
        <f aca="false">IF(B276="","",TEXT(B276,"YYYY-MM"))</f>
        <v/>
      </c>
      <c r="M276" s="10" t="str">
        <f aca="false">IF($E276="","",IFERROR(VLOOKUP($E276,Categories!$A:$B,2,FALSE()),""))</f>
        <v/>
      </c>
    </row>
    <row r="277" customFormat="false" ht="15" hidden="false" customHeight="false" outlineLevel="0" collapsed="false">
      <c r="A277" s="10" t="str">
        <f aca="false">IF(B277="","","T"&amp;TEXT(ROW()-4,"0000"))</f>
        <v/>
      </c>
      <c r="B277" s="23"/>
      <c r="C277" s="10"/>
      <c r="D277" s="10"/>
      <c r="E277" s="10"/>
      <c r="F277" s="25"/>
      <c r="G277" s="10"/>
      <c r="H277" s="25"/>
      <c r="I277" s="12" t="str">
        <f aca="false">IF(F277="","",F277+H277)</f>
        <v/>
      </c>
      <c r="J277" s="10"/>
      <c r="K277" s="10"/>
      <c r="L277" s="10" t="str">
        <f aca="false">IF(B277="","",TEXT(B277,"YYYY-MM"))</f>
        <v/>
      </c>
      <c r="M277" s="10" t="str">
        <f aca="false">IF($E277="","",IFERROR(VLOOKUP($E277,Categories!$A:$B,2,FALSE()),""))</f>
        <v/>
      </c>
    </row>
    <row r="278" customFormat="false" ht="15" hidden="false" customHeight="false" outlineLevel="0" collapsed="false">
      <c r="A278" s="10" t="str">
        <f aca="false">IF(B278="","","T"&amp;TEXT(ROW()-4,"0000"))</f>
        <v/>
      </c>
      <c r="B278" s="23"/>
      <c r="C278" s="10"/>
      <c r="D278" s="10"/>
      <c r="E278" s="10"/>
      <c r="F278" s="25"/>
      <c r="G278" s="10"/>
      <c r="H278" s="25"/>
      <c r="I278" s="12" t="str">
        <f aca="false">IF(F278="","",F278+H278)</f>
        <v/>
      </c>
      <c r="J278" s="10"/>
      <c r="K278" s="10"/>
      <c r="L278" s="10" t="str">
        <f aca="false">IF(B278="","",TEXT(B278,"YYYY-MM"))</f>
        <v/>
      </c>
      <c r="M278" s="10" t="str">
        <f aca="false">IF($E278="","",IFERROR(VLOOKUP($E278,Categories!$A:$B,2,FALSE()),""))</f>
        <v/>
      </c>
    </row>
    <row r="279" customFormat="false" ht="15" hidden="false" customHeight="false" outlineLevel="0" collapsed="false">
      <c r="A279" s="10" t="str">
        <f aca="false">IF(B279="","","T"&amp;TEXT(ROW()-4,"0000"))</f>
        <v/>
      </c>
      <c r="B279" s="23"/>
      <c r="C279" s="10"/>
      <c r="D279" s="10"/>
      <c r="E279" s="10"/>
      <c r="F279" s="25"/>
      <c r="G279" s="10"/>
      <c r="H279" s="25"/>
      <c r="I279" s="12" t="str">
        <f aca="false">IF(F279="","",F279+H279)</f>
        <v/>
      </c>
      <c r="J279" s="10"/>
      <c r="K279" s="10"/>
      <c r="L279" s="10" t="str">
        <f aca="false">IF(B279="","",TEXT(B279,"YYYY-MM"))</f>
        <v/>
      </c>
      <c r="M279" s="10" t="str">
        <f aca="false">IF($E279="","",IFERROR(VLOOKUP($E279,Categories!$A:$B,2,FALSE()),""))</f>
        <v/>
      </c>
    </row>
    <row r="280" customFormat="false" ht="15" hidden="false" customHeight="false" outlineLevel="0" collapsed="false">
      <c r="A280" s="10" t="str">
        <f aca="false">IF(B280="","","T"&amp;TEXT(ROW()-4,"0000"))</f>
        <v/>
      </c>
      <c r="B280" s="23"/>
      <c r="C280" s="10"/>
      <c r="D280" s="10"/>
      <c r="E280" s="10"/>
      <c r="F280" s="25"/>
      <c r="G280" s="10"/>
      <c r="H280" s="25"/>
      <c r="I280" s="12" t="str">
        <f aca="false">IF(F280="","",F280+H280)</f>
        <v/>
      </c>
      <c r="J280" s="10"/>
      <c r="K280" s="10"/>
      <c r="L280" s="10" t="str">
        <f aca="false">IF(B280="","",TEXT(B280,"YYYY-MM"))</f>
        <v/>
      </c>
      <c r="M280" s="10" t="str">
        <f aca="false">IF($E280="","",IFERROR(VLOOKUP($E280,Categories!$A:$B,2,FALSE()),""))</f>
        <v/>
      </c>
    </row>
    <row r="281" customFormat="false" ht="15" hidden="false" customHeight="false" outlineLevel="0" collapsed="false">
      <c r="A281" s="10" t="str">
        <f aca="false">IF(B281="","","T"&amp;TEXT(ROW()-4,"0000"))</f>
        <v/>
      </c>
      <c r="B281" s="23"/>
      <c r="C281" s="10"/>
      <c r="D281" s="10"/>
      <c r="E281" s="10"/>
      <c r="F281" s="25"/>
      <c r="G281" s="10"/>
      <c r="H281" s="25"/>
      <c r="I281" s="12" t="str">
        <f aca="false">IF(F281="","",F281+H281)</f>
        <v/>
      </c>
      <c r="J281" s="10"/>
      <c r="K281" s="10"/>
      <c r="L281" s="10" t="str">
        <f aca="false">IF(B281="","",TEXT(B281,"YYYY-MM"))</f>
        <v/>
      </c>
      <c r="M281" s="10" t="str">
        <f aca="false">IF($E281="","",IFERROR(VLOOKUP($E281,Categories!$A:$B,2,FALSE()),""))</f>
        <v/>
      </c>
    </row>
    <row r="282" customFormat="false" ht="15" hidden="false" customHeight="false" outlineLevel="0" collapsed="false">
      <c r="A282" s="10" t="str">
        <f aca="false">IF(B282="","","T"&amp;TEXT(ROW()-4,"0000"))</f>
        <v/>
      </c>
      <c r="B282" s="23"/>
      <c r="C282" s="10"/>
      <c r="D282" s="10"/>
      <c r="E282" s="10"/>
      <c r="F282" s="25"/>
      <c r="G282" s="10"/>
      <c r="H282" s="25"/>
      <c r="I282" s="12" t="str">
        <f aca="false">IF(F282="","",F282+H282)</f>
        <v/>
      </c>
      <c r="J282" s="10"/>
      <c r="K282" s="10"/>
      <c r="L282" s="10" t="str">
        <f aca="false">IF(B282="","",TEXT(B282,"YYYY-MM"))</f>
        <v/>
      </c>
      <c r="M282" s="10" t="str">
        <f aca="false">IF($E282="","",IFERROR(VLOOKUP($E282,Categories!$A:$B,2,FALSE()),""))</f>
        <v/>
      </c>
    </row>
    <row r="283" customFormat="false" ht="15" hidden="false" customHeight="false" outlineLevel="0" collapsed="false">
      <c r="A283" s="10" t="str">
        <f aca="false">IF(B283="","","T"&amp;TEXT(ROW()-4,"0000"))</f>
        <v/>
      </c>
      <c r="B283" s="23"/>
      <c r="C283" s="10"/>
      <c r="D283" s="10"/>
      <c r="E283" s="10"/>
      <c r="F283" s="25"/>
      <c r="G283" s="10"/>
      <c r="H283" s="25"/>
      <c r="I283" s="12" t="str">
        <f aca="false">IF(F283="","",F283+H283)</f>
        <v/>
      </c>
      <c r="J283" s="10"/>
      <c r="K283" s="10"/>
      <c r="L283" s="10" t="str">
        <f aca="false">IF(B283="","",TEXT(B283,"YYYY-MM"))</f>
        <v/>
      </c>
      <c r="M283" s="10" t="str">
        <f aca="false">IF($E283="","",IFERROR(VLOOKUP($E283,Categories!$A:$B,2,FALSE()),""))</f>
        <v/>
      </c>
    </row>
    <row r="284" customFormat="false" ht="15" hidden="false" customHeight="false" outlineLevel="0" collapsed="false">
      <c r="A284" s="10" t="str">
        <f aca="false">IF(B284="","","T"&amp;TEXT(ROW()-4,"0000"))</f>
        <v/>
      </c>
      <c r="B284" s="23"/>
      <c r="C284" s="10"/>
      <c r="D284" s="10"/>
      <c r="E284" s="10"/>
      <c r="F284" s="25"/>
      <c r="G284" s="10"/>
      <c r="H284" s="25"/>
      <c r="I284" s="12" t="str">
        <f aca="false">IF(F284="","",F284+H284)</f>
        <v/>
      </c>
      <c r="J284" s="10"/>
      <c r="K284" s="10"/>
      <c r="L284" s="10" t="str">
        <f aca="false">IF(B284="","",TEXT(B284,"YYYY-MM"))</f>
        <v/>
      </c>
      <c r="M284" s="10" t="str">
        <f aca="false">IF($E284="","",IFERROR(VLOOKUP($E284,Categories!$A:$B,2,FALSE()),""))</f>
        <v/>
      </c>
    </row>
    <row r="285" customFormat="false" ht="15" hidden="false" customHeight="false" outlineLevel="0" collapsed="false">
      <c r="A285" s="10" t="str">
        <f aca="false">IF(B285="","","T"&amp;TEXT(ROW()-4,"0000"))</f>
        <v/>
      </c>
      <c r="B285" s="23"/>
      <c r="C285" s="10"/>
      <c r="D285" s="10"/>
      <c r="E285" s="10"/>
      <c r="F285" s="25"/>
      <c r="G285" s="10"/>
      <c r="H285" s="25"/>
      <c r="I285" s="12" t="str">
        <f aca="false">IF(F285="","",F285+H285)</f>
        <v/>
      </c>
      <c r="J285" s="10"/>
      <c r="K285" s="10"/>
      <c r="L285" s="10" t="str">
        <f aca="false">IF(B285="","",TEXT(B285,"YYYY-MM"))</f>
        <v/>
      </c>
      <c r="M285" s="10" t="str">
        <f aca="false">IF($E285="","",IFERROR(VLOOKUP($E285,Categories!$A:$B,2,FALSE()),""))</f>
        <v/>
      </c>
    </row>
    <row r="286" customFormat="false" ht="15" hidden="false" customHeight="false" outlineLevel="0" collapsed="false">
      <c r="A286" s="10" t="str">
        <f aca="false">IF(B286="","","T"&amp;TEXT(ROW()-4,"0000"))</f>
        <v/>
      </c>
      <c r="B286" s="23"/>
      <c r="C286" s="10"/>
      <c r="D286" s="10"/>
      <c r="E286" s="10"/>
      <c r="F286" s="25"/>
      <c r="G286" s="10"/>
      <c r="H286" s="25"/>
      <c r="I286" s="12" t="str">
        <f aca="false">IF(F286="","",F286+H286)</f>
        <v/>
      </c>
      <c r="J286" s="10"/>
      <c r="K286" s="10"/>
      <c r="L286" s="10" t="str">
        <f aca="false">IF(B286="","",TEXT(B286,"YYYY-MM"))</f>
        <v/>
      </c>
      <c r="M286" s="10" t="str">
        <f aca="false">IF($E286="","",IFERROR(VLOOKUP($E286,Categories!$A:$B,2,FALSE()),""))</f>
        <v/>
      </c>
    </row>
    <row r="287" customFormat="false" ht="15" hidden="false" customHeight="false" outlineLevel="0" collapsed="false">
      <c r="A287" s="10" t="str">
        <f aca="false">IF(B287="","","T"&amp;TEXT(ROW()-4,"0000"))</f>
        <v/>
      </c>
      <c r="B287" s="23"/>
      <c r="C287" s="10"/>
      <c r="D287" s="10"/>
      <c r="E287" s="10"/>
      <c r="F287" s="25"/>
      <c r="G287" s="10"/>
      <c r="H287" s="25"/>
      <c r="I287" s="12" t="str">
        <f aca="false">IF(F287="","",F287+H287)</f>
        <v/>
      </c>
      <c r="J287" s="10"/>
      <c r="K287" s="10"/>
      <c r="L287" s="10" t="str">
        <f aca="false">IF(B287="","",TEXT(B287,"YYYY-MM"))</f>
        <v/>
      </c>
      <c r="M287" s="10" t="str">
        <f aca="false">IF($E287="","",IFERROR(VLOOKUP($E287,Categories!$A:$B,2,FALSE()),""))</f>
        <v/>
      </c>
    </row>
    <row r="288" customFormat="false" ht="15" hidden="false" customHeight="false" outlineLevel="0" collapsed="false">
      <c r="A288" s="10" t="str">
        <f aca="false">IF(B288="","","T"&amp;TEXT(ROW()-4,"0000"))</f>
        <v/>
      </c>
      <c r="B288" s="23"/>
      <c r="C288" s="10"/>
      <c r="D288" s="10"/>
      <c r="E288" s="10"/>
      <c r="F288" s="25"/>
      <c r="G288" s="10"/>
      <c r="H288" s="25"/>
      <c r="I288" s="12" t="str">
        <f aca="false">IF(F288="","",F288+H288)</f>
        <v/>
      </c>
      <c r="J288" s="10"/>
      <c r="K288" s="10"/>
      <c r="L288" s="10" t="str">
        <f aca="false">IF(B288="","",TEXT(B288,"YYYY-MM"))</f>
        <v/>
      </c>
      <c r="M288" s="10" t="str">
        <f aca="false">IF($E288="","",IFERROR(VLOOKUP($E288,Categories!$A:$B,2,FALSE()),""))</f>
        <v/>
      </c>
    </row>
    <row r="289" customFormat="false" ht="15" hidden="false" customHeight="false" outlineLevel="0" collapsed="false">
      <c r="A289" s="10" t="str">
        <f aca="false">IF(B289="","","T"&amp;TEXT(ROW()-4,"0000"))</f>
        <v/>
      </c>
      <c r="B289" s="23"/>
      <c r="C289" s="10"/>
      <c r="D289" s="10"/>
      <c r="E289" s="10"/>
      <c r="F289" s="25"/>
      <c r="G289" s="10"/>
      <c r="H289" s="25"/>
      <c r="I289" s="12" t="str">
        <f aca="false">IF(F289="","",F289+H289)</f>
        <v/>
      </c>
      <c r="J289" s="10"/>
      <c r="K289" s="10"/>
      <c r="L289" s="10" t="str">
        <f aca="false">IF(B289="","",TEXT(B289,"YYYY-MM"))</f>
        <v/>
      </c>
      <c r="M289" s="10" t="str">
        <f aca="false">IF($E289="","",IFERROR(VLOOKUP($E289,Categories!$A:$B,2,FALSE()),""))</f>
        <v/>
      </c>
    </row>
    <row r="290" customFormat="false" ht="15" hidden="false" customHeight="false" outlineLevel="0" collapsed="false">
      <c r="A290" s="10" t="str">
        <f aca="false">IF(B290="","","T"&amp;TEXT(ROW()-4,"0000"))</f>
        <v/>
      </c>
      <c r="B290" s="23"/>
      <c r="C290" s="10"/>
      <c r="D290" s="10"/>
      <c r="E290" s="10"/>
      <c r="F290" s="25"/>
      <c r="G290" s="10"/>
      <c r="H290" s="25"/>
      <c r="I290" s="12" t="str">
        <f aca="false">IF(F290="","",F290+H290)</f>
        <v/>
      </c>
      <c r="J290" s="10"/>
      <c r="K290" s="10"/>
      <c r="L290" s="10" t="str">
        <f aca="false">IF(B290="","",TEXT(B290,"YYYY-MM"))</f>
        <v/>
      </c>
      <c r="M290" s="10" t="str">
        <f aca="false">IF($E290="","",IFERROR(VLOOKUP($E290,Categories!$A:$B,2,FALSE()),""))</f>
        <v/>
      </c>
    </row>
    <row r="291" customFormat="false" ht="15" hidden="false" customHeight="false" outlineLevel="0" collapsed="false">
      <c r="A291" s="10" t="str">
        <f aca="false">IF(B291="","","T"&amp;TEXT(ROW()-4,"0000"))</f>
        <v/>
      </c>
      <c r="B291" s="23"/>
      <c r="C291" s="10"/>
      <c r="D291" s="10"/>
      <c r="E291" s="10"/>
      <c r="F291" s="25"/>
      <c r="G291" s="10"/>
      <c r="H291" s="25"/>
      <c r="I291" s="12" t="str">
        <f aca="false">IF(F291="","",F291+H291)</f>
        <v/>
      </c>
      <c r="J291" s="10"/>
      <c r="K291" s="10"/>
      <c r="L291" s="10" t="str">
        <f aca="false">IF(B291="","",TEXT(B291,"YYYY-MM"))</f>
        <v/>
      </c>
      <c r="M291" s="10" t="str">
        <f aca="false">IF($E291="","",IFERROR(VLOOKUP($E291,Categories!$A:$B,2,FALSE()),""))</f>
        <v/>
      </c>
    </row>
    <row r="292" customFormat="false" ht="15" hidden="false" customHeight="false" outlineLevel="0" collapsed="false">
      <c r="A292" s="10" t="str">
        <f aca="false">IF(B292="","","T"&amp;TEXT(ROW()-4,"0000"))</f>
        <v/>
      </c>
      <c r="B292" s="23"/>
      <c r="C292" s="10"/>
      <c r="D292" s="10"/>
      <c r="E292" s="10"/>
      <c r="F292" s="25"/>
      <c r="G292" s="10"/>
      <c r="H292" s="25"/>
      <c r="I292" s="12" t="str">
        <f aca="false">IF(F292="","",F292+H292)</f>
        <v/>
      </c>
      <c r="J292" s="10"/>
      <c r="K292" s="10"/>
      <c r="L292" s="10" t="str">
        <f aca="false">IF(B292="","",TEXT(B292,"YYYY-MM"))</f>
        <v/>
      </c>
      <c r="M292" s="10" t="str">
        <f aca="false">IF($E292="","",IFERROR(VLOOKUP($E292,Categories!$A:$B,2,FALSE()),""))</f>
        <v/>
      </c>
    </row>
    <row r="293" customFormat="false" ht="15" hidden="false" customHeight="false" outlineLevel="0" collapsed="false">
      <c r="A293" s="10" t="str">
        <f aca="false">IF(B293="","","T"&amp;TEXT(ROW()-4,"0000"))</f>
        <v/>
      </c>
      <c r="B293" s="23"/>
      <c r="C293" s="10"/>
      <c r="D293" s="10"/>
      <c r="E293" s="10"/>
      <c r="F293" s="25"/>
      <c r="G293" s="10"/>
      <c r="H293" s="25"/>
      <c r="I293" s="12" t="str">
        <f aca="false">IF(F293="","",F293+H293)</f>
        <v/>
      </c>
      <c r="J293" s="10"/>
      <c r="K293" s="10"/>
      <c r="L293" s="10" t="str">
        <f aca="false">IF(B293="","",TEXT(B293,"YYYY-MM"))</f>
        <v/>
      </c>
      <c r="M293" s="10" t="str">
        <f aca="false">IF($E293="","",IFERROR(VLOOKUP($E293,Categories!$A:$B,2,FALSE()),""))</f>
        <v/>
      </c>
    </row>
    <row r="294" customFormat="false" ht="15" hidden="false" customHeight="false" outlineLevel="0" collapsed="false">
      <c r="A294" s="10" t="str">
        <f aca="false">IF(B294="","","T"&amp;TEXT(ROW()-4,"0000"))</f>
        <v/>
      </c>
      <c r="B294" s="23"/>
      <c r="C294" s="10"/>
      <c r="D294" s="10"/>
      <c r="E294" s="10"/>
      <c r="F294" s="25"/>
      <c r="G294" s="10"/>
      <c r="H294" s="25"/>
      <c r="I294" s="12" t="str">
        <f aca="false">IF(F294="","",F294+H294)</f>
        <v/>
      </c>
      <c r="J294" s="10"/>
      <c r="K294" s="10"/>
      <c r="L294" s="10" t="str">
        <f aca="false">IF(B294="","",TEXT(B294,"YYYY-MM"))</f>
        <v/>
      </c>
      <c r="M294" s="10" t="str">
        <f aca="false">IF($E294="","",IFERROR(VLOOKUP($E294,Categories!$A:$B,2,FALSE()),""))</f>
        <v/>
      </c>
    </row>
    <row r="295" customFormat="false" ht="15" hidden="false" customHeight="false" outlineLevel="0" collapsed="false">
      <c r="A295" s="10" t="str">
        <f aca="false">IF(B295="","","T"&amp;TEXT(ROW()-4,"0000"))</f>
        <v/>
      </c>
      <c r="B295" s="23"/>
      <c r="C295" s="10"/>
      <c r="D295" s="10"/>
      <c r="E295" s="10"/>
      <c r="F295" s="25"/>
      <c r="G295" s="10"/>
      <c r="H295" s="25"/>
      <c r="I295" s="12" t="str">
        <f aca="false">IF(F295="","",F295+H295)</f>
        <v/>
      </c>
      <c r="J295" s="10"/>
      <c r="K295" s="10"/>
      <c r="L295" s="10" t="str">
        <f aca="false">IF(B295="","",TEXT(B295,"YYYY-MM"))</f>
        <v/>
      </c>
      <c r="M295" s="10" t="str">
        <f aca="false">IF($E295="","",IFERROR(VLOOKUP($E295,Categories!$A:$B,2,FALSE()),""))</f>
        <v/>
      </c>
    </row>
    <row r="296" customFormat="false" ht="15" hidden="false" customHeight="false" outlineLevel="0" collapsed="false">
      <c r="A296" s="10" t="str">
        <f aca="false">IF(B296="","","T"&amp;TEXT(ROW()-4,"0000"))</f>
        <v/>
      </c>
      <c r="B296" s="23"/>
      <c r="C296" s="10"/>
      <c r="D296" s="10"/>
      <c r="E296" s="10"/>
      <c r="F296" s="25"/>
      <c r="G296" s="10"/>
      <c r="H296" s="25"/>
      <c r="I296" s="12" t="str">
        <f aca="false">IF(F296="","",F296+H296)</f>
        <v/>
      </c>
      <c r="J296" s="10"/>
      <c r="K296" s="10"/>
      <c r="L296" s="10" t="str">
        <f aca="false">IF(B296="","",TEXT(B296,"YYYY-MM"))</f>
        <v/>
      </c>
      <c r="M296" s="10" t="str">
        <f aca="false">IF($E296="","",IFERROR(VLOOKUP($E296,Categories!$A:$B,2,FALSE()),""))</f>
        <v/>
      </c>
    </row>
    <row r="297" customFormat="false" ht="15" hidden="false" customHeight="false" outlineLevel="0" collapsed="false">
      <c r="A297" s="10" t="str">
        <f aca="false">IF(B297="","","T"&amp;TEXT(ROW()-4,"0000"))</f>
        <v/>
      </c>
      <c r="B297" s="23"/>
      <c r="C297" s="10"/>
      <c r="D297" s="10"/>
      <c r="E297" s="10"/>
      <c r="F297" s="25"/>
      <c r="G297" s="10"/>
      <c r="H297" s="25"/>
      <c r="I297" s="12" t="str">
        <f aca="false">IF(F297="","",F297+H297)</f>
        <v/>
      </c>
      <c r="J297" s="10"/>
      <c r="K297" s="10"/>
      <c r="L297" s="10" t="str">
        <f aca="false">IF(B297="","",TEXT(B297,"YYYY-MM"))</f>
        <v/>
      </c>
      <c r="M297" s="10" t="str">
        <f aca="false">IF($E297="","",IFERROR(VLOOKUP($E297,Categories!$A:$B,2,FALSE()),""))</f>
        <v/>
      </c>
    </row>
    <row r="298" customFormat="false" ht="15" hidden="false" customHeight="false" outlineLevel="0" collapsed="false">
      <c r="A298" s="10" t="str">
        <f aca="false">IF(B298="","","T"&amp;TEXT(ROW()-4,"0000"))</f>
        <v/>
      </c>
      <c r="B298" s="23"/>
      <c r="C298" s="10"/>
      <c r="D298" s="10"/>
      <c r="E298" s="10"/>
      <c r="F298" s="25"/>
      <c r="G298" s="10"/>
      <c r="H298" s="25"/>
      <c r="I298" s="12" t="str">
        <f aca="false">IF(F298="","",F298+H298)</f>
        <v/>
      </c>
      <c r="J298" s="10"/>
      <c r="K298" s="10"/>
      <c r="L298" s="10" t="str">
        <f aca="false">IF(B298="","",TEXT(B298,"YYYY-MM"))</f>
        <v/>
      </c>
      <c r="M298" s="10" t="str">
        <f aca="false">IF($E298="","",IFERROR(VLOOKUP($E298,Categories!$A:$B,2,FALSE()),""))</f>
        <v/>
      </c>
    </row>
    <row r="299" customFormat="false" ht="15" hidden="false" customHeight="false" outlineLevel="0" collapsed="false">
      <c r="A299" s="10" t="str">
        <f aca="false">IF(B299="","","T"&amp;TEXT(ROW()-4,"0000"))</f>
        <v/>
      </c>
      <c r="B299" s="23"/>
      <c r="C299" s="10"/>
      <c r="D299" s="10"/>
      <c r="E299" s="10"/>
      <c r="F299" s="25"/>
      <c r="G299" s="10"/>
      <c r="H299" s="25"/>
      <c r="I299" s="12" t="str">
        <f aca="false">IF(F299="","",F299+H299)</f>
        <v/>
      </c>
      <c r="J299" s="10"/>
      <c r="K299" s="10"/>
      <c r="L299" s="10" t="str">
        <f aca="false">IF(B299="","",TEXT(B299,"YYYY-MM"))</f>
        <v/>
      </c>
      <c r="M299" s="10" t="str">
        <f aca="false">IF($E299="","",IFERROR(VLOOKUP($E299,Categories!$A:$B,2,FALSE()),""))</f>
        <v/>
      </c>
    </row>
    <row r="300" customFormat="false" ht="15" hidden="false" customHeight="false" outlineLevel="0" collapsed="false">
      <c r="A300" s="10" t="str">
        <f aca="false">IF(B300="","","T"&amp;TEXT(ROW()-4,"0000"))</f>
        <v/>
      </c>
      <c r="B300" s="23"/>
      <c r="C300" s="10"/>
      <c r="D300" s="10"/>
      <c r="E300" s="10"/>
      <c r="F300" s="25"/>
      <c r="G300" s="10"/>
      <c r="H300" s="25"/>
      <c r="I300" s="12" t="str">
        <f aca="false">IF(F300="","",F300+H300)</f>
        <v/>
      </c>
      <c r="J300" s="10"/>
      <c r="K300" s="10"/>
      <c r="L300" s="10" t="str">
        <f aca="false">IF(B300="","",TEXT(B300,"YYYY-MM"))</f>
        <v/>
      </c>
      <c r="M300" s="10" t="str">
        <f aca="false">IF($E300="","",IFERROR(VLOOKUP($E300,Categories!$A:$B,2,FALSE()),""))</f>
        <v/>
      </c>
    </row>
    <row r="301" customFormat="false" ht="15" hidden="false" customHeight="false" outlineLevel="0" collapsed="false">
      <c r="A301" s="10" t="str">
        <f aca="false">IF(B301="","","T"&amp;TEXT(ROW()-4,"0000"))</f>
        <v/>
      </c>
      <c r="B301" s="23"/>
      <c r="C301" s="10"/>
      <c r="D301" s="10"/>
      <c r="E301" s="10"/>
      <c r="F301" s="25"/>
      <c r="G301" s="10"/>
      <c r="H301" s="25"/>
      <c r="I301" s="12" t="str">
        <f aca="false">IF(F301="","",F301+H301)</f>
        <v/>
      </c>
      <c r="J301" s="10"/>
      <c r="K301" s="10"/>
      <c r="L301" s="10" t="str">
        <f aca="false">IF(B301="","",TEXT(B301,"YYYY-MM"))</f>
        <v/>
      </c>
      <c r="M301" s="10" t="str">
        <f aca="false">IF($E301="","",IFERROR(VLOOKUP($E301,Categories!$A:$B,2,FALSE()),""))</f>
        <v/>
      </c>
    </row>
    <row r="302" customFormat="false" ht="15" hidden="false" customHeight="false" outlineLevel="0" collapsed="false">
      <c r="A302" s="10" t="str">
        <f aca="false">IF(B302="","","T"&amp;TEXT(ROW()-4,"0000"))</f>
        <v/>
      </c>
      <c r="B302" s="23"/>
      <c r="C302" s="10"/>
      <c r="D302" s="10"/>
      <c r="E302" s="10"/>
      <c r="F302" s="25"/>
      <c r="G302" s="10"/>
      <c r="H302" s="25"/>
      <c r="I302" s="12" t="str">
        <f aca="false">IF(F302="","",F302+H302)</f>
        <v/>
      </c>
      <c r="J302" s="10"/>
      <c r="K302" s="10"/>
      <c r="L302" s="10" t="str">
        <f aca="false">IF(B302="","",TEXT(B302,"YYYY-MM"))</f>
        <v/>
      </c>
      <c r="M302" s="10" t="str">
        <f aca="false">IF($E302="","",IFERROR(VLOOKUP($E302,Categories!$A:$B,2,FALSE()),""))</f>
        <v/>
      </c>
    </row>
    <row r="303" customFormat="false" ht="15" hidden="false" customHeight="false" outlineLevel="0" collapsed="false">
      <c r="A303" s="10" t="str">
        <f aca="false">IF(B303="","","T"&amp;TEXT(ROW()-4,"0000"))</f>
        <v/>
      </c>
      <c r="B303" s="23"/>
      <c r="C303" s="10"/>
      <c r="D303" s="10"/>
      <c r="E303" s="10"/>
      <c r="F303" s="25"/>
      <c r="G303" s="10"/>
      <c r="H303" s="25"/>
      <c r="I303" s="12" t="str">
        <f aca="false">IF(F303="","",F303+H303)</f>
        <v/>
      </c>
      <c r="J303" s="10"/>
      <c r="K303" s="10"/>
      <c r="L303" s="10" t="str">
        <f aca="false">IF(B303="","",TEXT(B303,"YYYY-MM"))</f>
        <v/>
      </c>
      <c r="M303" s="10" t="str">
        <f aca="false">IF($E303="","",IFERROR(VLOOKUP($E303,Categories!$A:$B,2,FALSE()),""))</f>
        <v/>
      </c>
    </row>
    <row r="304" customFormat="false" ht="15" hidden="false" customHeight="false" outlineLevel="0" collapsed="false">
      <c r="A304" s="10" t="str">
        <f aca="false">IF(B304="","","T"&amp;TEXT(ROW()-4,"0000"))</f>
        <v/>
      </c>
      <c r="B304" s="23"/>
      <c r="C304" s="10"/>
      <c r="D304" s="10"/>
      <c r="E304" s="10"/>
      <c r="F304" s="25"/>
      <c r="G304" s="10"/>
      <c r="H304" s="25"/>
      <c r="I304" s="12" t="str">
        <f aca="false">IF(F304="","",F304+H304)</f>
        <v/>
      </c>
      <c r="J304" s="10"/>
      <c r="K304" s="10"/>
      <c r="L304" s="10" t="str">
        <f aca="false">IF(B304="","",TEXT(B304,"YYYY-MM"))</f>
        <v/>
      </c>
      <c r="M304" s="10" t="str">
        <f aca="false">IF($E304="","",IFERROR(VLOOKUP($E304,Categories!$A:$B,2,FALSE()),""))</f>
        <v/>
      </c>
    </row>
    <row r="305" customFormat="false" ht="15" hidden="false" customHeight="false" outlineLevel="0" collapsed="false">
      <c r="A305" s="10" t="str">
        <f aca="false">IF(B305="","","T"&amp;TEXT(ROW()-4,"0000"))</f>
        <v/>
      </c>
      <c r="B305" s="23"/>
      <c r="C305" s="10"/>
      <c r="D305" s="10"/>
      <c r="E305" s="10"/>
      <c r="F305" s="25"/>
      <c r="G305" s="10"/>
      <c r="H305" s="25"/>
      <c r="I305" s="12" t="str">
        <f aca="false">IF(F305="","",F305+H305)</f>
        <v/>
      </c>
      <c r="J305" s="10"/>
      <c r="K305" s="10"/>
      <c r="L305" s="10" t="str">
        <f aca="false">IF(B305="","",TEXT(B305,"YYYY-MM"))</f>
        <v/>
      </c>
      <c r="M305" s="10" t="str">
        <f aca="false">IF($E305="","",IFERROR(VLOOKUP($E305,Categories!$A:$B,2,FALSE()),""))</f>
        <v/>
      </c>
    </row>
    <row r="306" customFormat="false" ht="15" hidden="false" customHeight="false" outlineLevel="0" collapsed="false">
      <c r="A306" s="10" t="str">
        <f aca="false">IF(B306="","","T"&amp;TEXT(ROW()-4,"0000"))</f>
        <v/>
      </c>
      <c r="B306" s="23"/>
      <c r="C306" s="10"/>
      <c r="D306" s="10"/>
      <c r="E306" s="10"/>
      <c r="F306" s="25"/>
      <c r="G306" s="10"/>
      <c r="H306" s="25"/>
      <c r="I306" s="12" t="str">
        <f aca="false">IF(F306="","",F306+H306)</f>
        <v/>
      </c>
      <c r="J306" s="10"/>
      <c r="K306" s="10"/>
      <c r="L306" s="10" t="str">
        <f aca="false">IF(B306="","",TEXT(B306,"YYYY-MM"))</f>
        <v/>
      </c>
      <c r="M306" s="10" t="str">
        <f aca="false">IF($E306="","",IFERROR(VLOOKUP($E306,Categories!$A:$B,2,FALSE()),""))</f>
        <v/>
      </c>
    </row>
    <row r="307" customFormat="false" ht="15" hidden="false" customHeight="false" outlineLevel="0" collapsed="false">
      <c r="A307" s="10" t="str">
        <f aca="false">IF(B307="","","T"&amp;TEXT(ROW()-4,"0000"))</f>
        <v/>
      </c>
      <c r="B307" s="23"/>
      <c r="C307" s="10"/>
      <c r="D307" s="10"/>
      <c r="E307" s="10"/>
      <c r="F307" s="25"/>
      <c r="G307" s="10"/>
      <c r="H307" s="25"/>
      <c r="I307" s="12" t="str">
        <f aca="false">IF(F307="","",F307+H307)</f>
        <v/>
      </c>
      <c r="J307" s="10"/>
      <c r="K307" s="10"/>
      <c r="L307" s="10" t="str">
        <f aca="false">IF(B307="","",TEXT(B307,"YYYY-MM"))</f>
        <v/>
      </c>
      <c r="M307" s="10" t="str">
        <f aca="false">IF($E307="","",IFERROR(VLOOKUP($E307,Categories!$A:$B,2,FALSE()),""))</f>
        <v/>
      </c>
    </row>
    <row r="308" customFormat="false" ht="15" hidden="false" customHeight="false" outlineLevel="0" collapsed="false">
      <c r="A308" s="10" t="str">
        <f aca="false">IF(B308="","","T"&amp;TEXT(ROW()-4,"0000"))</f>
        <v/>
      </c>
      <c r="B308" s="23"/>
      <c r="C308" s="10"/>
      <c r="D308" s="10"/>
      <c r="E308" s="10"/>
      <c r="F308" s="25"/>
      <c r="G308" s="10"/>
      <c r="H308" s="25"/>
      <c r="I308" s="12" t="str">
        <f aca="false">IF(F308="","",F308+H308)</f>
        <v/>
      </c>
      <c r="J308" s="10"/>
      <c r="K308" s="10"/>
      <c r="L308" s="10" t="str">
        <f aca="false">IF(B308="","",TEXT(B308,"YYYY-MM"))</f>
        <v/>
      </c>
      <c r="M308" s="10" t="str">
        <f aca="false">IF($E308="","",IFERROR(VLOOKUP($E308,Categories!$A:$B,2,FALSE()),""))</f>
        <v/>
      </c>
    </row>
    <row r="309" customFormat="false" ht="15" hidden="false" customHeight="false" outlineLevel="0" collapsed="false">
      <c r="A309" s="10" t="str">
        <f aca="false">IF(B309="","","T"&amp;TEXT(ROW()-4,"0000"))</f>
        <v/>
      </c>
      <c r="B309" s="23"/>
      <c r="C309" s="10"/>
      <c r="D309" s="10"/>
      <c r="E309" s="10"/>
      <c r="F309" s="25"/>
      <c r="G309" s="10"/>
      <c r="H309" s="25"/>
      <c r="I309" s="12" t="str">
        <f aca="false">IF(F309="","",F309+H309)</f>
        <v/>
      </c>
      <c r="J309" s="10"/>
      <c r="K309" s="10"/>
      <c r="L309" s="10" t="str">
        <f aca="false">IF(B309="","",TEXT(B309,"YYYY-MM"))</f>
        <v/>
      </c>
      <c r="M309" s="10" t="str">
        <f aca="false">IF($E309="","",IFERROR(VLOOKUP($E309,Categories!$A:$B,2,FALSE()),""))</f>
        <v/>
      </c>
    </row>
    <row r="310" customFormat="false" ht="15" hidden="false" customHeight="false" outlineLevel="0" collapsed="false">
      <c r="A310" s="10" t="str">
        <f aca="false">IF(B310="","","T"&amp;TEXT(ROW()-4,"0000"))</f>
        <v/>
      </c>
      <c r="B310" s="23"/>
      <c r="C310" s="10"/>
      <c r="D310" s="10"/>
      <c r="E310" s="10"/>
      <c r="F310" s="25"/>
      <c r="G310" s="10"/>
      <c r="H310" s="25"/>
      <c r="I310" s="12" t="str">
        <f aca="false">IF(F310="","",F310+H310)</f>
        <v/>
      </c>
      <c r="J310" s="10"/>
      <c r="K310" s="10"/>
      <c r="L310" s="10" t="str">
        <f aca="false">IF(B310="","",TEXT(B310,"YYYY-MM"))</f>
        <v/>
      </c>
      <c r="M310" s="10" t="str">
        <f aca="false">IF($E310="","",IFERROR(VLOOKUP($E310,Categories!$A:$B,2,FALSE()),""))</f>
        <v/>
      </c>
    </row>
    <row r="311" customFormat="false" ht="15" hidden="false" customHeight="false" outlineLevel="0" collapsed="false">
      <c r="A311" s="10" t="str">
        <f aca="false">IF(B311="","","T"&amp;TEXT(ROW()-4,"0000"))</f>
        <v/>
      </c>
      <c r="B311" s="23"/>
      <c r="C311" s="10"/>
      <c r="D311" s="10"/>
      <c r="E311" s="10"/>
      <c r="F311" s="25"/>
      <c r="G311" s="10"/>
      <c r="H311" s="25"/>
      <c r="I311" s="12" t="str">
        <f aca="false">IF(F311="","",F311+H311)</f>
        <v/>
      </c>
      <c r="J311" s="10"/>
      <c r="K311" s="10"/>
      <c r="L311" s="10" t="str">
        <f aca="false">IF(B311="","",TEXT(B311,"YYYY-MM"))</f>
        <v/>
      </c>
      <c r="M311" s="10" t="str">
        <f aca="false">IF($E311="","",IFERROR(VLOOKUP($E311,Categories!$A:$B,2,FALSE()),""))</f>
        <v/>
      </c>
    </row>
    <row r="312" customFormat="false" ht="15" hidden="false" customHeight="false" outlineLevel="0" collapsed="false">
      <c r="A312" s="10" t="str">
        <f aca="false">IF(B312="","","T"&amp;TEXT(ROW()-4,"0000"))</f>
        <v/>
      </c>
      <c r="B312" s="23"/>
      <c r="C312" s="10"/>
      <c r="D312" s="10"/>
      <c r="E312" s="10"/>
      <c r="F312" s="25"/>
      <c r="G312" s="10"/>
      <c r="H312" s="25"/>
      <c r="I312" s="12" t="str">
        <f aca="false">IF(F312="","",F312+H312)</f>
        <v/>
      </c>
      <c r="J312" s="10"/>
      <c r="K312" s="10"/>
      <c r="L312" s="10" t="str">
        <f aca="false">IF(B312="","",TEXT(B312,"YYYY-MM"))</f>
        <v/>
      </c>
      <c r="M312" s="10" t="str">
        <f aca="false">IF($E312="","",IFERROR(VLOOKUP($E312,Categories!$A:$B,2,FALSE()),""))</f>
        <v/>
      </c>
    </row>
    <row r="313" customFormat="false" ht="15" hidden="false" customHeight="false" outlineLevel="0" collapsed="false">
      <c r="A313" s="10" t="str">
        <f aca="false">IF(B313="","","T"&amp;TEXT(ROW()-4,"0000"))</f>
        <v/>
      </c>
      <c r="B313" s="23"/>
      <c r="C313" s="10"/>
      <c r="D313" s="10"/>
      <c r="E313" s="10"/>
      <c r="F313" s="25"/>
      <c r="G313" s="10"/>
      <c r="H313" s="25"/>
      <c r="I313" s="12" t="str">
        <f aca="false">IF(F313="","",F313+H313)</f>
        <v/>
      </c>
      <c r="J313" s="10"/>
      <c r="K313" s="10"/>
      <c r="L313" s="10" t="str">
        <f aca="false">IF(B313="","",TEXT(B313,"YYYY-MM"))</f>
        <v/>
      </c>
      <c r="M313" s="10" t="str">
        <f aca="false">IF($E313="","",IFERROR(VLOOKUP($E313,Categories!$A:$B,2,FALSE()),""))</f>
        <v/>
      </c>
    </row>
    <row r="314" customFormat="false" ht="15" hidden="false" customHeight="false" outlineLevel="0" collapsed="false">
      <c r="A314" s="10" t="str">
        <f aca="false">IF(B314="","","T"&amp;TEXT(ROW()-4,"0000"))</f>
        <v/>
      </c>
      <c r="B314" s="23"/>
      <c r="C314" s="10"/>
      <c r="D314" s="10"/>
      <c r="E314" s="10"/>
      <c r="F314" s="25"/>
      <c r="G314" s="10"/>
      <c r="H314" s="25"/>
      <c r="I314" s="12" t="str">
        <f aca="false">IF(F314="","",F314+H314)</f>
        <v/>
      </c>
      <c r="J314" s="10"/>
      <c r="K314" s="10"/>
      <c r="L314" s="10" t="str">
        <f aca="false">IF(B314="","",TEXT(B314,"YYYY-MM"))</f>
        <v/>
      </c>
      <c r="M314" s="10" t="str">
        <f aca="false">IF($E314="","",IFERROR(VLOOKUP($E314,Categories!$A:$B,2,FALSE()),""))</f>
        <v/>
      </c>
    </row>
    <row r="315" customFormat="false" ht="15" hidden="false" customHeight="false" outlineLevel="0" collapsed="false">
      <c r="A315" s="10" t="str">
        <f aca="false">IF(B315="","","T"&amp;TEXT(ROW()-4,"0000"))</f>
        <v/>
      </c>
      <c r="B315" s="23"/>
      <c r="C315" s="10"/>
      <c r="D315" s="10"/>
      <c r="E315" s="10"/>
      <c r="F315" s="25"/>
      <c r="G315" s="10"/>
      <c r="H315" s="25"/>
      <c r="I315" s="12" t="str">
        <f aca="false">IF(F315="","",F315+H315)</f>
        <v/>
      </c>
      <c r="J315" s="10"/>
      <c r="K315" s="10"/>
      <c r="L315" s="10" t="str">
        <f aca="false">IF(B315="","",TEXT(B315,"YYYY-MM"))</f>
        <v/>
      </c>
      <c r="M315" s="10" t="str">
        <f aca="false">IF($E315="","",IFERROR(VLOOKUP($E315,Categories!$A:$B,2,FALSE()),""))</f>
        <v/>
      </c>
    </row>
    <row r="316" customFormat="false" ht="15" hidden="false" customHeight="false" outlineLevel="0" collapsed="false">
      <c r="A316" s="10" t="str">
        <f aca="false">IF(B316="","","T"&amp;TEXT(ROW()-4,"0000"))</f>
        <v/>
      </c>
      <c r="B316" s="23"/>
      <c r="C316" s="10"/>
      <c r="D316" s="10"/>
      <c r="E316" s="10"/>
      <c r="F316" s="25"/>
      <c r="G316" s="10"/>
      <c r="H316" s="25"/>
      <c r="I316" s="12" t="str">
        <f aca="false">IF(F316="","",F316+H316)</f>
        <v/>
      </c>
      <c r="J316" s="10"/>
      <c r="K316" s="10"/>
      <c r="L316" s="10" t="str">
        <f aca="false">IF(B316="","",TEXT(B316,"YYYY-MM"))</f>
        <v/>
      </c>
      <c r="M316" s="10" t="str">
        <f aca="false">IF($E316="","",IFERROR(VLOOKUP($E316,Categories!$A:$B,2,FALSE()),""))</f>
        <v/>
      </c>
    </row>
    <row r="317" customFormat="false" ht="15" hidden="false" customHeight="false" outlineLevel="0" collapsed="false">
      <c r="A317" s="10" t="str">
        <f aca="false">IF(B317="","","T"&amp;TEXT(ROW()-4,"0000"))</f>
        <v/>
      </c>
      <c r="B317" s="23"/>
      <c r="C317" s="10"/>
      <c r="D317" s="10"/>
      <c r="E317" s="10"/>
      <c r="F317" s="25"/>
      <c r="G317" s="10"/>
      <c r="H317" s="25"/>
      <c r="I317" s="12" t="str">
        <f aca="false">IF(F317="","",F317+H317)</f>
        <v/>
      </c>
      <c r="J317" s="10"/>
      <c r="K317" s="10"/>
      <c r="L317" s="10" t="str">
        <f aca="false">IF(B317="","",TEXT(B317,"YYYY-MM"))</f>
        <v/>
      </c>
      <c r="M317" s="10" t="str">
        <f aca="false">IF($E317="","",IFERROR(VLOOKUP($E317,Categories!$A:$B,2,FALSE()),""))</f>
        <v/>
      </c>
    </row>
    <row r="318" customFormat="false" ht="15" hidden="false" customHeight="false" outlineLevel="0" collapsed="false">
      <c r="A318" s="10" t="str">
        <f aca="false">IF(B318="","","T"&amp;TEXT(ROW()-4,"0000"))</f>
        <v/>
      </c>
      <c r="B318" s="23"/>
      <c r="C318" s="10"/>
      <c r="D318" s="10"/>
      <c r="E318" s="10"/>
      <c r="F318" s="25"/>
      <c r="G318" s="10"/>
      <c r="H318" s="25"/>
      <c r="I318" s="12" t="str">
        <f aca="false">IF(F318="","",F318+H318)</f>
        <v/>
      </c>
      <c r="J318" s="10"/>
      <c r="K318" s="10"/>
      <c r="L318" s="10" t="str">
        <f aca="false">IF(B318="","",TEXT(B318,"YYYY-MM"))</f>
        <v/>
      </c>
      <c r="M318" s="10" t="str">
        <f aca="false">IF($E318="","",IFERROR(VLOOKUP($E318,Categories!$A:$B,2,FALSE()),""))</f>
        <v/>
      </c>
    </row>
    <row r="319" customFormat="false" ht="15" hidden="false" customHeight="false" outlineLevel="0" collapsed="false">
      <c r="A319" s="10" t="str">
        <f aca="false">IF(B319="","","T"&amp;TEXT(ROW()-4,"0000"))</f>
        <v/>
      </c>
      <c r="B319" s="23"/>
      <c r="C319" s="10"/>
      <c r="D319" s="10"/>
      <c r="E319" s="10"/>
      <c r="F319" s="25"/>
      <c r="G319" s="10"/>
      <c r="H319" s="25"/>
      <c r="I319" s="12" t="str">
        <f aca="false">IF(F319="","",F319+H319)</f>
        <v/>
      </c>
      <c r="J319" s="10"/>
      <c r="K319" s="10"/>
      <c r="L319" s="10" t="str">
        <f aca="false">IF(B319="","",TEXT(B319,"YYYY-MM"))</f>
        <v/>
      </c>
      <c r="M319" s="10" t="str">
        <f aca="false">IF($E319="","",IFERROR(VLOOKUP($E319,Categories!$A:$B,2,FALSE()),""))</f>
        <v/>
      </c>
    </row>
    <row r="320" customFormat="false" ht="15" hidden="false" customHeight="false" outlineLevel="0" collapsed="false">
      <c r="A320" s="10" t="str">
        <f aca="false">IF(B320="","","T"&amp;TEXT(ROW()-4,"0000"))</f>
        <v/>
      </c>
      <c r="B320" s="23"/>
      <c r="C320" s="10"/>
      <c r="D320" s="10"/>
      <c r="E320" s="10"/>
      <c r="F320" s="25"/>
      <c r="G320" s="10"/>
      <c r="H320" s="25"/>
      <c r="I320" s="12" t="str">
        <f aca="false">IF(F320="","",F320+H320)</f>
        <v/>
      </c>
      <c r="J320" s="10"/>
      <c r="K320" s="10"/>
      <c r="L320" s="10" t="str">
        <f aca="false">IF(B320="","",TEXT(B320,"YYYY-MM"))</f>
        <v/>
      </c>
      <c r="M320" s="10" t="str">
        <f aca="false">IF($E320="","",IFERROR(VLOOKUP($E320,Categories!$A:$B,2,FALSE()),""))</f>
        <v/>
      </c>
    </row>
    <row r="321" customFormat="false" ht="15" hidden="false" customHeight="false" outlineLevel="0" collapsed="false">
      <c r="A321" s="10" t="str">
        <f aca="false">IF(B321="","","T"&amp;TEXT(ROW()-4,"0000"))</f>
        <v/>
      </c>
      <c r="B321" s="23"/>
      <c r="C321" s="10"/>
      <c r="D321" s="10"/>
      <c r="E321" s="10"/>
      <c r="F321" s="25"/>
      <c r="G321" s="10"/>
      <c r="H321" s="25"/>
      <c r="I321" s="12" t="str">
        <f aca="false">IF(F321="","",F321+H321)</f>
        <v/>
      </c>
      <c r="J321" s="10"/>
      <c r="K321" s="10"/>
      <c r="L321" s="10" t="str">
        <f aca="false">IF(B321="","",TEXT(B321,"YYYY-MM"))</f>
        <v/>
      </c>
      <c r="M321" s="10" t="str">
        <f aca="false">IF($E321="","",IFERROR(VLOOKUP($E321,Categories!$A:$B,2,FALSE()),""))</f>
        <v/>
      </c>
    </row>
    <row r="322" customFormat="false" ht="15" hidden="false" customHeight="false" outlineLevel="0" collapsed="false">
      <c r="A322" s="10" t="str">
        <f aca="false">IF(B322="","","T"&amp;TEXT(ROW()-4,"0000"))</f>
        <v/>
      </c>
      <c r="B322" s="23"/>
      <c r="C322" s="10"/>
      <c r="D322" s="10"/>
      <c r="E322" s="10"/>
      <c r="F322" s="25"/>
      <c r="G322" s="10"/>
      <c r="H322" s="25"/>
      <c r="I322" s="12" t="str">
        <f aca="false">IF(F322="","",F322+H322)</f>
        <v/>
      </c>
      <c r="J322" s="10"/>
      <c r="K322" s="10"/>
      <c r="L322" s="10" t="str">
        <f aca="false">IF(B322="","",TEXT(B322,"YYYY-MM"))</f>
        <v/>
      </c>
      <c r="M322" s="10" t="str">
        <f aca="false">IF($E322="","",IFERROR(VLOOKUP($E322,Categories!$A:$B,2,FALSE()),""))</f>
        <v/>
      </c>
    </row>
    <row r="323" customFormat="false" ht="15" hidden="false" customHeight="false" outlineLevel="0" collapsed="false">
      <c r="A323" s="10" t="str">
        <f aca="false">IF(B323="","","T"&amp;TEXT(ROW()-4,"0000"))</f>
        <v/>
      </c>
      <c r="B323" s="23"/>
      <c r="C323" s="10"/>
      <c r="D323" s="10"/>
      <c r="E323" s="10"/>
      <c r="F323" s="25"/>
      <c r="G323" s="10"/>
      <c r="H323" s="25"/>
      <c r="I323" s="12" t="str">
        <f aca="false">IF(F323="","",F323+H323)</f>
        <v/>
      </c>
      <c r="J323" s="10"/>
      <c r="K323" s="10"/>
      <c r="L323" s="10" t="str">
        <f aca="false">IF(B323="","",TEXT(B323,"YYYY-MM"))</f>
        <v/>
      </c>
      <c r="M323" s="10" t="str">
        <f aca="false">IF($E323="","",IFERROR(VLOOKUP($E323,Categories!$A:$B,2,FALSE()),""))</f>
        <v/>
      </c>
    </row>
    <row r="324" customFormat="false" ht="15" hidden="false" customHeight="false" outlineLevel="0" collapsed="false">
      <c r="A324" s="10" t="str">
        <f aca="false">IF(B324="","","T"&amp;TEXT(ROW()-4,"0000"))</f>
        <v/>
      </c>
      <c r="B324" s="23"/>
      <c r="C324" s="10"/>
      <c r="D324" s="10"/>
      <c r="E324" s="10"/>
      <c r="F324" s="25"/>
      <c r="G324" s="10"/>
      <c r="H324" s="25"/>
      <c r="I324" s="12" t="str">
        <f aca="false">IF(F324="","",F324+H324)</f>
        <v/>
      </c>
      <c r="J324" s="10"/>
      <c r="K324" s="10"/>
      <c r="L324" s="10" t="str">
        <f aca="false">IF(B324="","",TEXT(B324,"YYYY-MM"))</f>
        <v/>
      </c>
      <c r="M324" s="10" t="str">
        <f aca="false">IF($E324="","",IFERROR(VLOOKUP($E324,Categories!$A:$B,2,FALSE()),""))</f>
        <v/>
      </c>
    </row>
    <row r="325" customFormat="false" ht="15" hidden="false" customHeight="false" outlineLevel="0" collapsed="false">
      <c r="A325" s="10" t="str">
        <f aca="false">IF(B325="","","T"&amp;TEXT(ROW()-4,"0000"))</f>
        <v/>
      </c>
      <c r="B325" s="23"/>
      <c r="C325" s="10"/>
      <c r="D325" s="10"/>
      <c r="E325" s="10"/>
      <c r="F325" s="25"/>
      <c r="G325" s="10"/>
      <c r="H325" s="25"/>
      <c r="I325" s="12" t="str">
        <f aca="false">IF(F325="","",F325+H325)</f>
        <v/>
      </c>
      <c r="J325" s="10"/>
      <c r="K325" s="10"/>
      <c r="L325" s="10" t="str">
        <f aca="false">IF(B325="","",TEXT(B325,"YYYY-MM"))</f>
        <v/>
      </c>
      <c r="M325" s="10" t="str">
        <f aca="false">IF($E325="","",IFERROR(VLOOKUP($E325,Categories!$A:$B,2,FALSE()),""))</f>
        <v/>
      </c>
    </row>
    <row r="326" customFormat="false" ht="15" hidden="false" customHeight="false" outlineLevel="0" collapsed="false">
      <c r="A326" s="10" t="str">
        <f aca="false">IF(B326="","","T"&amp;TEXT(ROW()-4,"0000"))</f>
        <v/>
      </c>
      <c r="B326" s="23"/>
      <c r="C326" s="10"/>
      <c r="D326" s="10"/>
      <c r="E326" s="10"/>
      <c r="F326" s="25"/>
      <c r="G326" s="10"/>
      <c r="H326" s="25"/>
      <c r="I326" s="12" t="str">
        <f aca="false">IF(F326="","",F326+H326)</f>
        <v/>
      </c>
      <c r="J326" s="10"/>
      <c r="K326" s="10"/>
      <c r="L326" s="10" t="str">
        <f aca="false">IF(B326="","",TEXT(B326,"YYYY-MM"))</f>
        <v/>
      </c>
      <c r="M326" s="10" t="str">
        <f aca="false">IF($E326="","",IFERROR(VLOOKUP($E326,Categories!$A:$B,2,FALSE()),""))</f>
        <v/>
      </c>
    </row>
    <row r="327" customFormat="false" ht="15" hidden="false" customHeight="false" outlineLevel="0" collapsed="false">
      <c r="A327" s="10" t="str">
        <f aca="false">IF(B327="","","T"&amp;TEXT(ROW()-4,"0000"))</f>
        <v/>
      </c>
      <c r="B327" s="23"/>
      <c r="C327" s="10"/>
      <c r="D327" s="10"/>
      <c r="E327" s="10"/>
      <c r="F327" s="25"/>
      <c r="G327" s="10"/>
      <c r="H327" s="25"/>
      <c r="I327" s="12" t="str">
        <f aca="false">IF(F327="","",F327+H327)</f>
        <v/>
      </c>
      <c r="J327" s="10"/>
      <c r="K327" s="10"/>
      <c r="L327" s="10" t="str">
        <f aca="false">IF(B327="","",TEXT(B327,"YYYY-MM"))</f>
        <v/>
      </c>
      <c r="M327" s="10" t="str">
        <f aca="false">IF($E327="","",IFERROR(VLOOKUP($E327,Categories!$A:$B,2,FALSE()),""))</f>
        <v/>
      </c>
    </row>
    <row r="328" customFormat="false" ht="15" hidden="false" customHeight="false" outlineLevel="0" collapsed="false">
      <c r="A328" s="10" t="str">
        <f aca="false">IF(B328="","","T"&amp;TEXT(ROW()-4,"0000"))</f>
        <v/>
      </c>
      <c r="B328" s="23"/>
      <c r="C328" s="10"/>
      <c r="D328" s="10"/>
      <c r="E328" s="10"/>
      <c r="F328" s="25"/>
      <c r="G328" s="10"/>
      <c r="H328" s="25"/>
      <c r="I328" s="12" t="str">
        <f aca="false">IF(F328="","",F328+H328)</f>
        <v/>
      </c>
      <c r="J328" s="10"/>
      <c r="K328" s="10"/>
      <c r="L328" s="10" t="str">
        <f aca="false">IF(B328="","",TEXT(B328,"YYYY-MM"))</f>
        <v/>
      </c>
      <c r="M328" s="10" t="str">
        <f aca="false">IF($E328="","",IFERROR(VLOOKUP($E328,Categories!$A:$B,2,FALSE()),""))</f>
        <v/>
      </c>
    </row>
    <row r="329" customFormat="false" ht="15" hidden="false" customHeight="false" outlineLevel="0" collapsed="false">
      <c r="A329" s="10" t="str">
        <f aca="false">IF(B329="","","T"&amp;TEXT(ROW()-4,"0000"))</f>
        <v/>
      </c>
      <c r="B329" s="23"/>
      <c r="C329" s="10"/>
      <c r="D329" s="10"/>
      <c r="E329" s="10"/>
      <c r="F329" s="25"/>
      <c r="G329" s="10"/>
      <c r="H329" s="25"/>
      <c r="I329" s="12" t="str">
        <f aca="false">IF(F329="","",F329+H329)</f>
        <v/>
      </c>
      <c r="J329" s="10"/>
      <c r="K329" s="10"/>
      <c r="L329" s="10" t="str">
        <f aca="false">IF(B329="","",TEXT(B329,"YYYY-MM"))</f>
        <v/>
      </c>
      <c r="M329" s="10" t="str">
        <f aca="false">IF($E329="","",IFERROR(VLOOKUP($E329,Categories!$A:$B,2,FALSE()),""))</f>
        <v/>
      </c>
    </row>
    <row r="330" customFormat="false" ht="15" hidden="false" customHeight="false" outlineLevel="0" collapsed="false">
      <c r="A330" s="10" t="str">
        <f aca="false">IF(B330="","","T"&amp;TEXT(ROW()-4,"0000"))</f>
        <v/>
      </c>
      <c r="B330" s="23"/>
      <c r="C330" s="10"/>
      <c r="D330" s="10"/>
      <c r="E330" s="10"/>
      <c r="F330" s="25"/>
      <c r="G330" s="10"/>
      <c r="H330" s="25"/>
      <c r="I330" s="12" t="str">
        <f aca="false">IF(F330="","",F330+H330)</f>
        <v/>
      </c>
      <c r="J330" s="10"/>
      <c r="K330" s="10"/>
      <c r="L330" s="10" t="str">
        <f aca="false">IF(B330="","",TEXT(B330,"YYYY-MM"))</f>
        <v/>
      </c>
      <c r="M330" s="10" t="str">
        <f aca="false">IF($E330="","",IFERROR(VLOOKUP($E330,Categories!$A:$B,2,FALSE()),""))</f>
        <v/>
      </c>
    </row>
    <row r="331" customFormat="false" ht="15" hidden="false" customHeight="false" outlineLevel="0" collapsed="false">
      <c r="A331" s="10" t="str">
        <f aca="false">IF(B331="","","T"&amp;TEXT(ROW()-4,"0000"))</f>
        <v/>
      </c>
      <c r="B331" s="23"/>
      <c r="C331" s="10"/>
      <c r="D331" s="10"/>
      <c r="E331" s="10"/>
      <c r="F331" s="25"/>
      <c r="G331" s="10"/>
      <c r="H331" s="25"/>
      <c r="I331" s="12" t="str">
        <f aca="false">IF(F331="","",F331+H331)</f>
        <v/>
      </c>
      <c r="J331" s="10"/>
      <c r="K331" s="10"/>
      <c r="L331" s="10" t="str">
        <f aca="false">IF(B331="","",TEXT(B331,"YYYY-MM"))</f>
        <v/>
      </c>
      <c r="M331" s="10" t="str">
        <f aca="false">IF($E331="","",IFERROR(VLOOKUP($E331,Categories!$A:$B,2,FALSE()),""))</f>
        <v/>
      </c>
    </row>
    <row r="332" customFormat="false" ht="15" hidden="false" customHeight="false" outlineLevel="0" collapsed="false">
      <c r="A332" s="10" t="str">
        <f aca="false">IF(B332="","","T"&amp;TEXT(ROW()-4,"0000"))</f>
        <v/>
      </c>
      <c r="B332" s="23"/>
      <c r="C332" s="10"/>
      <c r="D332" s="10"/>
      <c r="E332" s="10"/>
      <c r="F332" s="25"/>
      <c r="G332" s="10"/>
      <c r="H332" s="25"/>
      <c r="I332" s="12" t="str">
        <f aca="false">IF(F332="","",F332+H332)</f>
        <v/>
      </c>
      <c r="J332" s="10"/>
      <c r="K332" s="10"/>
      <c r="L332" s="10" t="str">
        <f aca="false">IF(B332="","",TEXT(B332,"YYYY-MM"))</f>
        <v/>
      </c>
      <c r="M332" s="10" t="str">
        <f aca="false">IF($E332="","",IFERROR(VLOOKUP($E332,Categories!$A:$B,2,FALSE()),""))</f>
        <v/>
      </c>
    </row>
    <row r="333" customFormat="false" ht="15" hidden="false" customHeight="false" outlineLevel="0" collapsed="false">
      <c r="A333" s="10" t="str">
        <f aca="false">IF(B333="","","T"&amp;TEXT(ROW()-4,"0000"))</f>
        <v/>
      </c>
      <c r="B333" s="23"/>
      <c r="C333" s="10"/>
      <c r="D333" s="10"/>
      <c r="E333" s="10"/>
      <c r="F333" s="25"/>
      <c r="G333" s="10"/>
      <c r="H333" s="25"/>
      <c r="I333" s="12" t="str">
        <f aca="false">IF(F333="","",F333+H333)</f>
        <v/>
      </c>
      <c r="J333" s="10"/>
      <c r="K333" s="10"/>
      <c r="L333" s="10" t="str">
        <f aca="false">IF(B333="","",TEXT(B333,"YYYY-MM"))</f>
        <v/>
      </c>
      <c r="M333" s="10" t="str">
        <f aca="false">IF($E333="","",IFERROR(VLOOKUP($E333,Categories!$A:$B,2,FALSE()),""))</f>
        <v/>
      </c>
    </row>
    <row r="334" customFormat="false" ht="15" hidden="false" customHeight="false" outlineLevel="0" collapsed="false">
      <c r="A334" s="10" t="str">
        <f aca="false">IF(B334="","","T"&amp;TEXT(ROW()-4,"0000"))</f>
        <v/>
      </c>
      <c r="B334" s="23"/>
      <c r="C334" s="10"/>
      <c r="D334" s="10"/>
      <c r="E334" s="10"/>
      <c r="F334" s="25"/>
      <c r="G334" s="10"/>
      <c r="H334" s="25"/>
      <c r="I334" s="12" t="str">
        <f aca="false">IF(F334="","",F334+H334)</f>
        <v/>
      </c>
      <c r="J334" s="10"/>
      <c r="K334" s="10"/>
      <c r="L334" s="10" t="str">
        <f aca="false">IF(B334="","",TEXT(B334,"YYYY-MM"))</f>
        <v/>
      </c>
      <c r="M334" s="10" t="str">
        <f aca="false">IF($E334="","",IFERROR(VLOOKUP($E334,Categories!$A:$B,2,FALSE()),""))</f>
        <v/>
      </c>
    </row>
    <row r="335" customFormat="false" ht="15" hidden="false" customHeight="false" outlineLevel="0" collapsed="false">
      <c r="A335" s="10" t="str">
        <f aca="false">IF(B335="","","T"&amp;TEXT(ROW()-4,"0000"))</f>
        <v/>
      </c>
      <c r="B335" s="23"/>
      <c r="C335" s="10"/>
      <c r="D335" s="10"/>
      <c r="E335" s="10"/>
      <c r="F335" s="25"/>
      <c r="G335" s="10"/>
      <c r="H335" s="25"/>
      <c r="I335" s="12" t="str">
        <f aca="false">IF(F335="","",F335+H335)</f>
        <v/>
      </c>
      <c r="J335" s="10"/>
      <c r="K335" s="10"/>
      <c r="L335" s="10" t="str">
        <f aca="false">IF(B335="","",TEXT(B335,"YYYY-MM"))</f>
        <v/>
      </c>
      <c r="M335" s="10" t="str">
        <f aca="false">IF($E335="","",IFERROR(VLOOKUP($E335,Categories!$A:$B,2,FALSE()),""))</f>
        <v/>
      </c>
    </row>
    <row r="336" customFormat="false" ht="15" hidden="false" customHeight="false" outlineLevel="0" collapsed="false">
      <c r="A336" s="10" t="str">
        <f aca="false">IF(B336="","","T"&amp;TEXT(ROW()-4,"0000"))</f>
        <v/>
      </c>
      <c r="B336" s="23"/>
      <c r="C336" s="10"/>
      <c r="D336" s="10"/>
      <c r="E336" s="10"/>
      <c r="F336" s="25"/>
      <c r="G336" s="10"/>
      <c r="H336" s="25"/>
      <c r="I336" s="12" t="str">
        <f aca="false">IF(F336="","",F336+H336)</f>
        <v/>
      </c>
      <c r="J336" s="10"/>
      <c r="K336" s="10"/>
      <c r="L336" s="10" t="str">
        <f aca="false">IF(B336="","",TEXT(B336,"YYYY-MM"))</f>
        <v/>
      </c>
      <c r="M336" s="10" t="str">
        <f aca="false">IF($E336="","",IFERROR(VLOOKUP($E336,Categories!$A:$B,2,FALSE()),""))</f>
        <v/>
      </c>
    </row>
    <row r="337" customFormat="false" ht="15" hidden="false" customHeight="false" outlineLevel="0" collapsed="false">
      <c r="A337" s="10" t="str">
        <f aca="false">IF(B337="","","T"&amp;TEXT(ROW()-4,"0000"))</f>
        <v/>
      </c>
      <c r="B337" s="23"/>
      <c r="C337" s="10"/>
      <c r="D337" s="10"/>
      <c r="E337" s="10"/>
      <c r="F337" s="25"/>
      <c r="G337" s="10"/>
      <c r="H337" s="25"/>
      <c r="I337" s="12" t="str">
        <f aca="false">IF(F337="","",F337+H337)</f>
        <v/>
      </c>
      <c r="J337" s="10"/>
      <c r="K337" s="10"/>
      <c r="L337" s="10" t="str">
        <f aca="false">IF(B337="","",TEXT(B337,"YYYY-MM"))</f>
        <v/>
      </c>
      <c r="M337" s="10" t="str">
        <f aca="false">IF($E337="","",IFERROR(VLOOKUP($E337,Categories!$A:$B,2,FALSE()),""))</f>
        <v/>
      </c>
    </row>
    <row r="338" customFormat="false" ht="15" hidden="false" customHeight="false" outlineLevel="0" collapsed="false">
      <c r="A338" s="10" t="str">
        <f aca="false">IF(B338="","","T"&amp;TEXT(ROW()-4,"0000"))</f>
        <v/>
      </c>
      <c r="B338" s="23"/>
      <c r="C338" s="10"/>
      <c r="D338" s="10"/>
      <c r="E338" s="10"/>
      <c r="F338" s="25"/>
      <c r="G338" s="10"/>
      <c r="H338" s="25"/>
      <c r="I338" s="12" t="str">
        <f aca="false">IF(F338="","",F338+H338)</f>
        <v/>
      </c>
      <c r="J338" s="10"/>
      <c r="K338" s="10"/>
      <c r="L338" s="10" t="str">
        <f aca="false">IF(B338="","",TEXT(B338,"YYYY-MM"))</f>
        <v/>
      </c>
      <c r="M338" s="10" t="str">
        <f aca="false">IF($E338="","",IFERROR(VLOOKUP($E338,Categories!$A:$B,2,FALSE()),""))</f>
        <v/>
      </c>
    </row>
    <row r="339" customFormat="false" ht="15" hidden="false" customHeight="false" outlineLevel="0" collapsed="false">
      <c r="A339" s="10" t="str">
        <f aca="false">IF(B339="","","T"&amp;TEXT(ROW()-4,"0000"))</f>
        <v/>
      </c>
      <c r="B339" s="23"/>
      <c r="C339" s="10"/>
      <c r="D339" s="10"/>
      <c r="E339" s="10"/>
      <c r="F339" s="25"/>
      <c r="G339" s="10"/>
      <c r="H339" s="25"/>
      <c r="I339" s="12" t="str">
        <f aca="false">IF(F339="","",F339+H339)</f>
        <v/>
      </c>
      <c r="J339" s="10"/>
      <c r="K339" s="10"/>
      <c r="L339" s="10" t="str">
        <f aca="false">IF(B339="","",TEXT(B339,"YYYY-MM"))</f>
        <v/>
      </c>
      <c r="M339" s="10" t="str">
        <f aca="false">IF($E339="","",IFERROR(VLOOKUP($E339,Categories!$A:$B,2,FALSE()),""))</f>
        <v/>
      </c>
    </row>
    <row r="340" customFormat="false" ht="15" hidden="false" customHeight="false" outlineLevel="0" collapsed="false">
      <c r="A340" s="10" t="str">
        <f aca="false">IF(B340="","","T"&amp;TEXT(ROW()-4,"0000"))</f>
        <v/>
      </c>
      <c r="B340" s="23"/>
      <c r="C340" s="10"/>
      <c r="D340" s="10"/>
      <c r="E340" s="10"/>
      <c r="F340" s="25"/>
      <c r="G340" s="10"/>
      <c r="H340" s="25"/>
      <c r="I340" s="12" t="str">
        <f aca="false">IF(F340="","",F340+H340)</f>
        <v/>
      </c>
      <c r="J340" s="10"/>
      <c r="K340" s="10"/>
      <c r="L340" s="10" t="str">
        <f aca="false">IF(B340="","",TEXT(B340,"YYYY-MM"))</f>
        <v/>
      </c>
      <c r="M340" s="10" t="str">
        <f aca="false">IF($E340="","",IFERROR(VLOOKUP($E340,Categories!$A:$B,2,FALSE()),""))</f>
        <v/>
      </c>
    </row>
    <row r="341" customFormat="false" ht="15" hidden="false" customHeight="false" outlineLevel="0" collapsed="false">
      <c r="A341" s="10" t="str">
        <f aca="false">IF(B341="","","T"&amp;TEXT(ROW()-4,"0000"))</f>
        <v/>
      </c>
      <c r="B341" s="23"/>
      <c r="C341" s="10"/>
      <c r="D341" s="10"/>
      <c r="E341" s="10"/>
      <c r="F341" s="25"/>
      <c r="G341" s="10"/>
      <c r="H341" s="25"/>
      <c r="I341" s="12" t="str">
        <f aca="false">IF(F341="","",F341+H341)</f>
        <v/>
      </c>
      <c r="J341" s="10"/>
      <c r="K341" s="10"/>
      <c r="L341" s="10" t="str">
        <f aca="false">IF(B341="","",TEXT(B341,"YYYY-MM"))</f>
        <v/>
      </c>
      <c r="M341" s="10" t="str">
        <f aca="false">IF($E341="","",IFERROR(VLOOKUP($E341,Categories!$A:$B,2,FALSE()),""))</f>
        <v/>
      </c>
    </row>
    <row r="342" customFormat="false" ht="15" hidden="false" customHeight="false" outlineLevel="0" collapsed="false">
      <c r="A342" s="10" t="str">
        <f aca="false">IF(B342="","","T"&amp;TEXT(ROW()-4,"0000"))</f>
        <v/>
      </c>
      <c r="B342" s="23"/>
      <c r="C342" s="10"/>
      <c r="D342" s="10"/>
      <c r="E342" s="10"/>
      <c r="F342" s="25"/>
      <c r="G342" s="10"/>
      <c r="H342" s="25"/>
      <c r="I342" s="12" t="str">
        <f aca="false">IF(F342="","",F342+H342)</f>
        <v/>
      </c>
      <c r="J342" s="10"/>
      <c r="K342" s="10"/>
      <c r="L342" s="10" t="str">
        <f aca="false">IF(B342="","",TEXT(B342,"YYYY-MM"))</f>
        <v/>
      </c>
      <c r="M342" s="10" t="str">
        <f aca="false">IF($E342="","",IFERROR(VLOOKUP($E342,Categories!$A:$B,2,FALSE()),""))</f>
        <v/>
      </c>
    </row>
    <row r="343" customFormat="false" ht="15" hidden="false" customHeight="false" outlineLevel="0" collapsed="false">
      <c r="A343" s="10" t="str">
        <f aca="false">IF(B343="","","T"&amp;TEXT(ROW()-4,"0000"))</f>
        <v/>
      </c>
      <c r="B343" s="23"/>
      <c r="C343" s="10"/>
      <c r="D343" s="10"/>
      <c r="E343" s="10"/>
      <c r="F343" s="25"/>
      <c r="G343" s="10"/>
      <c r="H343" s="25"/>
      <c r="I343" s="12" t="str">
        <f aca="false">IF(F343="","",F343+H343)</f>
        <v/>
      </c>
      <c r="J343" s="10"/>
      <c r="K343" s="10"/>
      <c r="L343" s="10" t="str">
        <f aca="false">IF(B343="","",TEXT(B343,"YYYY-MM"))</f>
        <v/>
      </c>
      <c r="M343" s="10" t="str">
        <f aca="false">IF($E343="","",IFERROR(VLOOKUP($E343,Categories!$A:$B,2,FALSE()),""))</f>
        <v/>
      </c>
    </row>
    <row r="344" customFormat="false" ht="15" hidden="false" customHeight="false" outlineLevel="0" collapsed="false">
      <c r="A344" s="10" t="str">
        <f aca="false">IF(B344="","","T"&amp;TEXT(ROW()-4,"0000"))</f>
        <v/>
      </c>
      <c r="B344" s="23"/>
      <c r="C344" s="10"/>
      <c r="D344" s="10"/>
      <c r="E344" s="10"/>
      <c r="F344" s="25"/>
      <c r="G344" s="10"/>
      <c r="H344" s="25"/>
      <c r="I344" s="12" t="str">
        <f aca="false">IF(F344="","",F344+H344)</f>
        <v/>
      </c>
      <c r="J344" s="10"/>
      <c r="K344" s="10"/>
      <c r="L344" s="10" t="str">
        <f aca="false">IF(B344="","",TEXT(B344,"YYYY-MM"))</f>
        <v/>
      </c>
      <c r="M344" s="10" t="str">
        <f aca="false">IF($E344="","",IFERROR(VLOOKUP($E344,Categories!$A:$B,2,FALSE()),""))</f>
        <v/>
      </c>
    </row>
    <row r="345" customFormat="false" ht="15" hidden="false" customHeight="false" outlineLevel="0" collapsed="false">
      <c r="A345" s="10" t="str">
        <f aca="false">IF(B345="","","T"&amp;TEXT(ROW()-4,"0000"))</f>
        <v/>
      </c>
      <c r="B345" s="23"/>
      <c r="C345" s="10"/>
      <c r="D345" s="10"/>
      <c r="E345" s="10"/>
      <c r="F345" s="25"/>
      <c r="G345" s="10"/>
      <c r="H345" s="25"/>
      <c r="I345" s="12" t="str">
        <f aca="false">IF(F345="","",F345+H345)</f>
        <v/>
      </c>
      <c r="J345" s="10"/>
      <c r="K345" s="10"/>
      <c r="L345" s="10" t="str">
        <f aca="false">IF(B345="","",TEXT(B345,"YYYY-MM"))</f>
        <v/>
      </c>
      <c r="M345" s="10" t="str">
        <f aca="false">IF($E345="","",IFERROR(VLOOKUP($E345,Categories!$A:$B,2,FALSE()),""))</f>
        <v/>
      </c>
    </row>
    <row r="346" customFormat="false" ht="15" hidden="false" customHeight="false" outlineLevel="0" collapsed="false">
      <c r="A346" s="10" t="str">
        <f aca="false">IF(B346="","","T"&amp;TEXT(ROW()-4,"0000"))</f>
        <v/>
      </c>
      <c r="B346" s="23"/>
      <c r="C346" s="10"/>
      <c r="D346" s="10"/>
      <c r="E346" s="10"/>
      <c r="F346" s="25"/>
      <c r="G346" s="10"/>
      <c r="H346" s="25"/>
      <c r="I346" s="12" t="str">
        <f aca="false">IF(F346="","",F346+H346)</f>
        <v/>
      </c>
      <c r="J346" s="10"/>
      <c r="K346" s="10"/>
      <c r="L346" s="10" t="str">
        <f aca="false">IF(B346="","",TEXT(B346,"YYYY-MM"))</f>
        <v/>
      </c>
      <c r="M346" s="10" t="str">
        <f aca="false">IF($E346="","",IFERROR(VLOOKUP($E346,Categories!$A:$B,2,FALSE()),""))</f>
        <v/>
      </c>
    </row>
    <row r="347" customFormat="false" ht="15" hidden="false" customHeight="false" outlineLevel="0" collapsed="false">
      <c r="A347" s="10" t="str">
        <f aca="false">IF(B347="","","T"&amp;TEXT(ROW()-4,"0000"))</f>
        <v/>
      </c>
      <c r="B347" s="23"/>
      <c r="C347" s="10"/>
      <c r="D347" s="10"/>
      <c r="E347" s="10"/>
      <c r="F347" s="25"/>
      <c r="G347" s="10"/>
      <c r="H347" s="25"/>
      <c r="I347" s="12" t="str">
        <f aca="false">IF(F347="","",F347+H347)</f>
        <v/>
      </c>
      <c r="J347" s="10"/>
      <c r="K347" s="10"/>
      <c r="L347" s="10" t="str">
        <f aca="false">IF(B347="","",TEXT(B347,"YYYY-MM"))</f>
        <v/>
      </c>
      <c r="M347" s="10" t="str">
        <f aca="false">IF($E347="","",IFERROR(VLOOKUP($E347,Categories!$A:$B,2,FALSE()),""))</f>
        <v/>
      </c>
    </row>
    <row r="348" customFormat="false" ht="15" hidden="false" customHeight="false" outlineLevel="0" collapsed="false">
      <c r="A348" s="10" t="str">
        <f aca="false">IF(B348="","","T"&amp;TEXT(ROW()-4,"0000"))</f>
        <v/>
      </c>
      <c r="B348" s="23"/>
      <c r="C348" s="10"/>
      <c r="D348" s="10"/>
      <c r="E348" s="10"/>
      <c r="F348" s="25"/>
      <c r="G348" s="10"/>
      <c r="H348" s="25"/>
      <c r="I348" s="12" t="str">
        <f aca="false">IF(F348="","",F348+H348)</f>
        <v/>
      </c>
      <c r="J348" s="10"/>
      <c r="K348" s="10"/>
      <c r="L348" s="10" t="str">
        <f aca="false">IF(B348="","",TEXT(B348,"YYYY-MM"))</f>
        <v/>
      </c>
      <c r="M348" s="10" t="str">
        <f aca="false">IF($E348="","",IFERROR(VLOOKUP($E348,Categories!$A:$B,2,FALSE()),""))</f>
        <v/>
      </c>
    </row>
    <row r="349" customFormat="false" ht="15" hidden="false" customHeight="false" outlineLevel="0" collapsed="false">
      <c r="A349" s="10" t="str">
        <f aca="false">IF(B349="","","T"&amp;TEXT(ROW()-4,"0000"))</f>
        <v/>
      </c>
      <c r="B349" s="23"/>
      <c r="C349" s="10"/>
      <c r="D349" s="10"/>
      <c r="E349" s="10"/>
      <c r="F349" s="25"/>
      <c r="G349" s="10"/>
      <c r="H349" s="25"/>
      <c r="I349" s="12" t="str">
        <f aca="false">IF(F349="","",F349+H349)</f>
        <v/>
      </c>
      <c r="J349" s="10"/>
      <c r="K349" s="10"/>
      <c r="L349" s="10" t="str">
        <f aca="false">IF(B349="","",TEXT(B349,"YYYY-MM"))</f>
        <v/>
      </c>
      <c r="M349" s="10" t="str">
        <f aca="false">IF($E349="","",IFERROR(VLOOKUP($E349,Categories!$A:$B,2,FALSE()),""))</f>
        <v/>
      </c>
    </row>
    <row r="350" customFormat="false" ht="15" hidden="false" customHeight="false" outlineLevel="0" collapsed="false">
      <c r="A350" s="10" t="str">
        <f aca="false">IF(B350="","","T"&amp;TEXT(ROW()-4,"0000"))</f>
        <v/>
      </c>
      <c r="B350" s="23"/>
      <c r="C350" s="10"/>
      <c r="D350" s="10"/>
      <c r="E350" s="10"/>
      <c r="F350" s="25"/>
      <c r="G350" s="10"/>
      <c r="H350" s="25"/>
      <c r="I350" s="12" t="str">
        <f aca="false">IF(F350="","",F350+H350)</f>
        <v/>
      </c>
      <c r="J350" s="10"/>
      <c r="K350" s="10"/>
      <c r="L350" s="10" t="str">
        <f aca="false">IF(B350="","",TEXT(B350,"YYYY-MM"))</f>
        <v/>
      </c>
      <c r="M350" s="10" t="str">
        <f aca="false">IF($E350="","",IFERROR(VLOOKUP($E350,Categories!$A:$B,2,FALSE()),""))</f>
        <v/>
      </c>
    </row>
    <row r="351" customFormat="false" ht="15" hidden="false" customHeight="false" outlineLevel="0" collapsed="false">
      <c r="A351" s="10" t="str">
        <f aca="false">IF(B351="","","T"&amp;TEXT(ROW()-4,"0000"))</f>
        <v/>
      </c>
      <c r="B351" s="23"/>
      <c r="C351" s="10"/>
      <c r="D351" s="10"/>
      <c r="E351" s="10"/>
      <c r="F351" s="25"/>
      <c r="G351" s="10"/>
      <c r="H351" s="25"/>
      <c r="I351" s="12" t="str">
        <f aca="false">IF(F351="","",F351+H351)</f>
        <v/>
      </c>
      <c r="J351" s="10"/>
      <c r="K351" s="10"/>
      <c r="L351" s="10" t="str">
        <f aca="false">IF(B351="","",TEXT(B351,"YYYY-MM"))</f>
        <v/>
      </c>
      <c r="M351" s="10" t="str">
        <f aca="false">IF($E351="","",IFERROR(VLOOKUP($E351,Categories!$A:$B,2,FALSE()),""))</f>
        <v/>
      </c>
    </row>
    <row r="352" customFormat="false" ht="15" hidden="false" customHeight="false" outlineLevel="0" collapsed="false">
      <c r="A352" s="10" t="str">
        <f aca="false">IF(B352="","","T"&amp;TEXT(ROW()-4,"0000"))</f>
        <v/>
      </c>
      <c r="B352" s="23"/>
      <c r="C352" s="10"/>
      <c r="D352" s="10"/>
      <c r="E352" s="10"/>
      <c r="F352" s="25"/>
      <c r="G352" s="10"/>
      <c r="H352" s="25"/>
      <c r="I352" s="12" t="str">
        <f aca="false">IF(F352="","",F352+H352)</f>
        <v/>
      </c>
      <c r="J352" s="10"/>
      <c r="K352" s="10"/>
      <c r="L352" s="10" t="str">
        <f aca="false">IF(B352="","",TEXT(B352,"YYYY-MM"))</f>
        <v/>
      </c>
      <c r="M352" s="10" t="str">
        <f aca="false">IF($E352="","",IFERROR(VLOOKUP($E352,Categories!$A:$B,2,FALSE()),""))</f>
        <v/>
      </c>
    </row>
    <row r="353" customFormat="false" ht="15" hidden="false" customHeight="false" outlineLevel="0" collapsed="false">
      <c r="A353" s="10" t="str">
        <f aca="false">IF(B353="","","T"&amp;TEXT(ROW()-4,"0000"))</f>
        <v/>
      </c>
      <c r="B353" s="23"/>
      <c r="C353" s="10"/>
      <c r="D353" s="10"/>
      <c r="E353" s="10"/>
      <c r="F353" s="25"/>
      <c r="G353" s="10"/>
      <c r="H353" s="25"/>
      <c r="I353" s="12" t="str">
        <f aca="false">IF(F353="","",F353+H353)</f>
        <v/>
      </c>
      <c r="J353" s="10"/>
      <c r="K353" s="10"/>
      <c r="L353" s="10" t="str">
        <f aca="false">IF(B353="","",TEXT(B353,"YYYY-MM"))</f>
        <v/>
      </c>
      <c r="M353" s="10" t="str">
        <f aca="false">IF($E353="","",IFERROR(VLOOKUP($E353,Categories!$A:$B,2,FALSE()),""))</f>
        <v/>
      </c>
    </row>
    <row r="354" customFormat="false" ht="15" hidden="false" customHeight="false" outlineLevel="0" collapsed="false">
      <c r="A354" s="10" t="str">
        <f aca="false">IF(B354="","","T"&amp;TEXT(ROW()-4,"0000"))</f>
        <v/>
      </c>
      <c r="B354" s="23"/>
      <c r="C354" s="10"/>
      <c r="D354" s="10"/>
      <c r="E354" s="10"/>
      <c r="F354" s="25"/>
      <c r="G354" s="10"/>
      <c r="H354" s="25"/>
      <c r="I354" s="12" t="str">
        <f aca="false">IF(F354="","",F354+H354)</f>
        <v/>
      </c>
      <c r="J354" s="10"/>
      <c r="K354" s="10"/>
      <c r="L354" s="10" t="str">
        <f aca="false">IF(B354="","",TEXT(B354,"YYYY-MM"))</f>
        <v/>
      </c>
      <c r="M354" s="10" t="str">
        <f aca="false">IF($E354="","",IFERROR(VLOOKUP($E354,Categories!$A:$B,2,FALSE()),""))</f>
        <v/>
      </c>
    </row>
    <row r="355" customFormat="false" ht="15" hidden="false" customHeight="false" outlineLevel="0" collapsed="false">
      <c r="A355" s="10" t="str">
        <f aca="false">IF(B355="","","T"&amp;TEXT(ROW()-4,"0000"))</f>
        <v/>
      </c>
      <c r="B355" s="23"/>
      <c r="C355" s="10"/>
      <c r="D355" s="10"/>
      <c r="E355" s="10"/>
      <c r="F355" s="25"/>
      <c r="G355" s="10"/>
      <c r="H355" s="25"/>
      <c r="I355" s="12" t="str">
        <f aca="false">IF(F355="","",F355+H355)</f>
        <v/>
      </c>
      <c r="J355" s="10"/>
      <c r="K355" s="10"/>
      <c r="L355" s="10" t="str">
        <f aca="false">IF(B355="","",TEXT(B355,"YYYY-MM"))</f>
        <v/>
      </c>
      <c r="M355" s="10" t="str">
        <f aca="false">IF($E355="","",IFERROR(VLOOKUP($E355,Categories!$A:$B,2,FALSE()),""))</f>
        <v/>
      </c>
    </row>
    <row r="356" customFormat="false" ht="15" hidden="false" customHeight="false" outlineLevel="0" collapsed="false">
      <c r="A356" s="10" t="str">
        <f aca="false">IF(B356="","","T"&amp;TEXT(ROW()-4,"0000"))</f>
        <v/>
      </c>
      <c r="B356" s="23"/>
      <c r="C356" s="10"/>
      <c r="D356" s="10"/>
      <c r="E356" s="10"/>
      <c r="F356" s="25"/>
      <c r="G356" s="10"/>
      <c r="H356" s="25"/>
      <c r="I356" s="12" t="str">
        <f aca="false">IF(F356="","",F356+H356)</f>
        <v/>
      </c>
      <c r="J356" s="10"/>
      <c r="K356" s="10"/>
      <c r="L356" s="10" t="str">
        <f aca="false">IF(B356="","",TEXT(B356,"YYYY-MM"))</f>
        <v/>
      </c>
      <c r="M356" s="10" t="str">
        <f aca="false">IF($E356="","",IFERROR(VLOOKUP($E356,Categories!$A:$B,2,FALSE()),""))</f>
        <v/>
      </c>
    </row>
    <row r="357" customFormat="false" ht="15" hidden="false" customHeight="false" outlineLevel="0" collapsed="false">
      <c r="A357" s="10" t="str">
        <f aca="false">IF(B357="","","T"&amp;TEXT(ROW()-4,"0000"))</f>
        <v/>
      </c>
      <c r="B357" s="23"/>
      <c r="C357" s="10"/>
      <c r="D357" s="10"/>
      <c r="E357" s="10"/>
      <c r="F357" s="25"/>
      <c r="G357" s="10"/>
      <c r="H357" s="25"/>
      <c r="I357" s="12" t="str">
        <f aca="false">IF(F357="","",F357+H357)</f>
        <v/>
      </c>
      <c r="J357" s="10"/>
      <c r="K357" s="10"/>
      <c r="L357" s="10" t="str">
        <f aca="false">IF(B357="","",TEXT(B357,"YYYY-MM"))</f>
        <v/>
      </c>
      <c r="M357" s="10" t="str">
        <f aca="false">IF($E357="","",IFERROR(VLOOKUP($E357,Categories!$A:$B,2,FALSE()),""))</f>
        <v/>
      </c>
    </row>
    <row r="358" customFormat="false" ht="15" hidden="false" customHeight="false" outlineLevel="0" collapsed="false">
      <c r="A358" s="10" t="str">
        <f aca="false">IF(B358="","","T"&amp;TEXT(ROW()-4,"0000"))</f>
        <v/>
      </c>
      <c r="B358" s="23"/>
      <c r="C358" s="10"/>
      <c r="D358" s="10"/>
      <c r="E358" s="10"/>
      <c r="F358" s="25"/>
      <c r="G358" s="10"/>
      <c r="H358" s="25"/>
      <c r="I358" s="12" t="str">
        <f aca="false">IF(F358="","",F358+H358)</f>
        <v/>
      </c>
      <c r="J358" s="10"/>
      <c r="K358" s="10"/>
      <c r="L358" s="10" t="str">
        <f aca="false">IF(B358="","",TEXT(B358,"YYYY-MM"))</f>
        <v/>
      </c>
      <c r="M358" s="10" t="str">
        <f aca="false">IF($E358="","",IFERROR(VLOOKUP($E358,Categories!$A:$B,2,FALSE()),""))</f>
        <v/>
      </c>
    </row>
    <row r="359" customFormat="false" ht="15" hidden="false" customHeight="false" outlineLevel="0" collapsed="false">
      <c r="A359" s="10" t="str">
        <f aca="false">IF(B359="","","T"&amp;TEXT(ROW()-4,"0000"))</f>
        <v/>
      </c>
      <c r="B359" s="23"/>
      <c r="C359" s="10"/>
      <c r="D359" s="10"/>
      <c r="E359" s="10"/>
      <c r="F359" s="25"/>
      <c r="G359" s="10"/>
      <c r="H359" s="25"/>
      <c r="I359" s="12" t="str">
        <f aca="false">IF(F359="","",F359+H359)</f>
        <v/>
      </c>
      <c r="J359" s="10"/>
      <c r="K359" s="10"/>
      <c r="L359" s="10" t="str">
        <f aca="false">IF(B359="","",TEXT(B359,"YYYY-MM"))</f>
        <v/>
      </c>
      <c r="M359" s="10" t="str">
        <f aca="false">IF($E359="","",IFERROR(VLOOKUP($E359,Categories!$A:$B,2,FALSE()),""))</f>
        <v/>
      </c>
    </row>
    <row r="360" customFormat="false" ht="15" hidden="false" customHeight="false" outlineLevel="0" collapsed="false">
      <c r="A360" s="10" t="str">
        <f aca="false">IF(B360="","","T"&amp;TEXT(ROW()-4,"0000"))</f>
        <v/>
      </c>
      <c r="B360" s="23"/>
      <c r="C360" s="10"/>
      <c r="D360" s="10"/>
      <c r="E360" s="10"/>
      <c r="F360" s="25"/>
      <c r="G360" s="10"/>
      <c r="H360" s="25"/>
      <c r="I360" s="12" t="str">
        <f aca="false">IF(F360="","",F360+H360)</f>
        <v/>
      </c>
      <c r="J360" s="10"/>
      <c r="K360" s="10"/>
      <c r="L360" s="10" t="str">
        <f aca="false">IF(B360="","",TEXT(B360,"YYYY-MM"))</f>
        <v/>
      </c>
      <c r="M360" s="10" t="str">
        <f aca="false">IF($E360="","",IFERROR(VLOOKUP($E360,Categories!$A:$B,2,FALSE()),""))</f>
        <v/>
      </c>
    </row>
    <row r="361" customFormat="false" ht="15" hidden="false" customHeight="false" outlineLevel="0" collapsed="false">
      <c r="A361" s="10" t="str">
        <f aca="false">IF(B361="","","T"&amp;TEXT(ROW()-4,"0000"))</f>
        <v/>
      </c>
      <c r="B361" s="23"/>
      <c r="C361" s="10"/>
      <c r="D361" s="10"/>
      <c r="E361" s="10"/>
      <c r="F361" s="25"/>
      <c r="G361" s="10"/>
      <c r="H361" s="25"/>
      <c r="I361" s="12" t="str">
        <f aca="false">IF(F361="","",F361+H361)</f>
        <v/>
      </c>
      <c r="J361" s="10"/>
      <c r="K361" s="10"/>
      <c r="L361" s="10" t="str">
        <f aca="false">IF(B361="","",TEXT(B361,"YYYY-MM"))</f>
        <v/>
      </c>
      <c r="M361" s="10" t="str">
        <f aca="false">IF($E361="","",IFERROR(VLOOKUP($E361,Categories!$A:$B,2,FALSE()),""))</f>
        <v/>
      </c>
    </row>
    <row r="362" customFormat="false" ht="15" hidden="false" customHeight="false" outlineLevel="0" collapsed="false">
      <c r="A362" s="10" t="str">
        <f aca="false">IF(B362="","","T"&amp;TEXT(ROW()-4,"0000"))</f>
        <v/>
      </c>
      <c r="B362" s="23"/>
      <c r="C362" s="10"/>
      <c r="D362" s="10"/>
      <c r="E362" s="10"/>
      <c r="F362" s="25"/>
      <c r="G362" s="10"/>
      <c r="H362" s="25"/>
      <c r="I362" s="12" t="str">
        <f aca="false">IF(F362="","",F362+H362)</f>
        <v/>
      </c>
      <c r="J362" s="10"/>
      <c r="K362" s="10"/>
      <c r="L362" s="10" t="str">
        <f aca="false">IF(B362="","",TEXT(B362,"YYYY-MM"))</f>
        <v/>
      </c>
      <c r="M362" s="10" t="str">
        <f aca="false">IF($E362="","",IFERROR(VLOOKUP($E362,Categories!$A:$B,2,FALSE()),""))</f>
        <v/>
      </c>
    </row>
    <row r="363" customFormat="false" ht="15" hidden="false" customHeight="false" outlineLevel="0" collapsed="false">
      <c r="A363" s="10" t="str">
        <f aca="false">IF(B363="","","T"&amp;TEXT(ROW()-4,"0000"))</f>
        <v/>
      </c>
      <c r="B363" s="23"/>
      <c r="C363" s="10"/>
      <c r="D363" s="10"/>
      <c r="E363" s="10"/>
      <c r="F363" s="25"/>
      <c r="G363" s="10"/>
      <c r="H363" s="25"/>
      <c r="I363" s="12" t="str">
        <f aca="false">IF(F363="","",F363+H363)</f>
        <v/>
      </c>
      <c r="J363" s="10"/>
      <c r="K363" s="10"/>
      <c r="L363" s="10" t="str">
        <f aca="false">IF(B363="","",TEXT(B363,"YYYY-MM"))</f>
        <v/>
      </c>
      <c r="M363" s="10" t="str">
        <f aca="false">IF($E363="","",IFERROR(VLOOKUP($E363,Categories!$A:$B,2,FALSE()),""))</f>
        <v/>
      </c>
    </row>
    <row r="364" customFormat="false" ht="15" hidden="false" customHeight="false" outlineLevel="0" collapsed="false">
      <c r="A364" s="10" t="str">
        <f aca="false">IF(B364="","","T"&amp;TEXT(ROW()-4,"0000"))</f>
        <v/>
      </c>
      <c r="B364" s="23"/>
      <c r="C364" s="10"/>
      <c r="D364" s="10"/>
      <c r="E364" s="10"/>
      <c r="F364" s="25"/>
      <c r="G364" s="10"/>
      <c r="H364" s="25"/>
      <c r="I364" s="12" t="str">
        <f aca="false">IF(F364="","",F364+H364)</f>
        <v/>
      </c>
      <c r="J364" s="10"/>
      <c r="K364" s="10"/>
      <c r="L364" s="10" t="str">
        <f aca="false">IF(B364="","",TEXT(B364,"YYYY-MM"))</f>
        <v/>
      </c>
      <c r="M364" s="10" t="str">
        <f aca="false">IF($E364="","",IFERROR(VLOOKUP($E364,Categories!$A:$B,2,FALSE()),""))</f>
        <v/>
      </c>
    </row>
    <row r="365" customFormat="false" ht="15" hidden="false" customHeight="false" outlineLevel="0" collapsed="false">
      <c r="A365" s="10" t="str">
        <f aca="false">IF(B365="","","T"&amp;TEXT(ROW()-4,"0000"))</f>
        <v/>
      </c>
      <c r="B365" s="23"/>
      <c r="C365" s="10"/>
      <c r="D365" s="10"/>
      <c r="E365" s="10"/>
      <c r="F365" s="25"/>
      <c r="G365" s="10"/>
      <c r="H365" s="25"/>
      <c r="I365" s="12" t="str">
        <f aca="false">IF(F365="","",F365+H365)</f>
        <v/>
      </c>
      <c r="J365" s="10"/>
      <c r="K365" s="10"/>
      <c r="L365" s="10" t="str">
        <f aca="false">IF(B365="","",TEXT(B365,"YYYY-MM"))</f>
        <v/>
      </c>
      <c r="M365" s="10" t="str">
        <f aca="false">IF($E365="","",IFERROR(VLOOKUP($E365,Categories!$A:$B,2,FALSE()),""))</f>
        <v/>
      </c>
    </row>
    <row r="366" customFormat="false" ht="15" hidden="false" customHeight="false" outlineLevel="0" collapsed="false">
      <c r="A366" s="10" t="str">
        <f aca="false">IF(B366="","","T"&amp;TEXT(ROW()-4,"0000"))</f>
        <v/>
      </c>
      <c r="B366" s="23"/>
      <c r="C366" s="10"/>
      <c r="D366" s="10"/>
      <c r="E366" s="10"/>
      <c r="F366" s="25"/>
      <c r="G366" s="10"/>
      <c r="H366" s="25"/>
      <c r="I366" s="12" t="str">
        <f aca="false">IF(F366="","",F366+H366)</f>
        <v/>
      </c>
      <c r="J366" s="10"/>
      <c r="K366" s="10"/>
      <c r="L366" s="10" t="str">
        <f aca="false">IF(B366="","",TEXT(B366,"YYYY-MM"))</f>
        <v/>
      </c>
      <c r="M366" s="10" t="str">
        <f aca="false">IF($E366="","",IFERROR(VLOOKUP($E366,Categories!$A:$B,2,FALSE()),""))</f>
        <v/>
      </c>
    </row>
    <row r="367" customFormat="false" ht="15" hidden="false" customHeight="false" outlineLevel="0" collapsed="false">
      <c r="A367" s="10" t="str">
        <f aca="false">IF(B367="","","T"&amp;TEXT(ROW()-4,"0000"))</f>
        <v/>
      </c>
      <c r="B367" s="23"/>
      <c r="C367" s="10"/>
      <c r="D367" s="10"/>
      <c r="E367" s="10"/>
      <c r="F367" s="25"/>
      <c r="G367" s="10"/>
      <c r="H367" s="25"/>
      <c r="I367" s="12" t="str">
        <f aca="false">IF(F367="","",F367+H367)</f>
        <v/>
      </c>
      <c r="J367" s="10"/>
      <c r="K367" s="10"/>
      <c r="L367" s="10" t="str">
        <f aca="false">IF(B367="","",TEXT(B367,"YYYY-MM"))</f>
        <v/>
      </c>
      <c r="M367" s="10" t="str">
        <f aca="false">IF($E367="","",IFERROR(VLOOKUP($E367,Categories!$A:$B,2,FALSE()),""))</f>
        <v/>
      </c>
    </row>
    <row r="368" customFormat="false" ht="15" hidden="false" customHeight="false" outlineLevel="0" collapsed="false">
      <c r="A368" s="10" t="str">
        <f aca="false">IF(B368="","","T"&amp;TEXT(ROW()-4,"0000"))</f>
        <v/>
      </c>
      <c r="B368" s="23"/>
      <c r="C368" s="10"/>
      <c r="D368" s="10"/>
      <c r="E368" s="10"/>
      <c r="F368" s="25"/>
      <c r="G368" s="10"/>
      <c r="H368" s="25"/>
      <c r="I368" s="12" t="str">
        <f aca="false">IF(F368="","",F368+H368)</f>
        <v/>
      </c>
      <c r="J368" s="10"/>
      <c r="K368" s="10"/>
      <c r="L368" s="10" t="str">
        <f aca="false">IF(B368="","",TEXT(B368,"YYYY-MM"))</f>
        <v/>
      </c>
      <c r="M368" s="10" t="str">
        <f aca="false">IF($E368="","",IFERROR(VLOOKUP($E368,Categories!$A:$B,2,FALSE()),""))</f>
        <v/>
      </c>
    </row>
    <row r="369" customFormat="false" ht="15" hidden="false" customHeight="false" outlineLevel="0" collapsed="false">
      <c r="A369" s="10" t="str">
        <f aca="false">IF(B369="","","T"&amp;TEXT(ROW()-4,"0000"))</f>
        <v/>
      </c>
      <c r="B369" s="23"/>
      <c r="C369" s="10"/>
      <c r="D369" s="10"/>
      <c r="E369" s="10"/>
      <c r="F369" s="25"/>
      <c r="G369" s="10"/>
      <c r="H369" s="25"/>
      <c r="I369" s="12" t="str">
        <f aca="false">IF(F369="","",F369+H369)</f>
        <v/>
      </c>
      <c r="J369" s="10"/>
      <c r="K369" s="10"/>
      <c r="L369" s="10" t="str">
        <f aca="false">IF(B369="","",TEXT(B369,"YYYY-MM"))</f>
        <v/>
      </c>
      <c r="M369" s="10" t="str">
        <f aca="false">IF($E369="","",IFERROR(VLOOKUP($E369,Categories!$A:$B,2,FALSE()),""))</f>
        <v/>
      </c>
    </row>
    <row r="370" customFormat="false" ht="15" hidden="false" customHeight="false" outlineLevel="0" collapsed="false">
      <c r="A370" s="10" t="str">
        <f aca="false">IF(B370="","","T"&amp;TEXT(ROW()-4,"0000"))</f>
        <v/>
      </c>
      <c r="B370" s="23"/>
      <c r="C370" s="10"/>
      <c r="D370" s="10"/>
      <c r="E370" s="10"/>
      <c r="F370" s="25"/>
      <c r="G370" s="10"/>
      <c r="H370" s="25"/>
      <c r="I370" s="12" t="str">
        <f aca="false">IF(F370="","",F370+H370)</f>
        <v/>
      </c>
      <c r="J370" s="10"/>
      <c r="K370" s="10"/>
      <c r="L370" s="10" t="str">
        <f aca="false">IF(B370="","",TEXT(B370,"YYYY-MM"))</f>
        <v/>
      </c>
      <c r="M370" s="10" t="str">
        <f aca="false">IF($E370="","",IFERROR(VLOOKUP($E370,Categories!$A:$B,2,FALSE()),""))</f>
        <v/>
      </c>
    </row>
    <row r="371" customFormat="false" ht="15" hidden="false" customHeight="false" outlineLevel="0" collapsed="false">
      <c r="A371" s="10" t="str">
        <f aca="false">IF(B371="","","T"&amp;TEXT(ROW()-4,"0000"))</f>
        <v/>
      </c>
      <c r="B371" s="23"/>
      <c r="C371" s="10"/>
      <c r="D371" s="10"/>
      <c r="E371" s="10"/>
      <c r="F371" s="25"/>
      <c r="G371" s="10"/>
      <c r="H371" s="25"/>
      <c r="I371" s="12" t="str">
        <f aca="false">IF(F371="","",F371+H371)</f>
        <v/>
      </c>
      <c r="J371" s="10"/>
      <c r="K371" s="10"/>
      <c r="L371" s="10" t="str">
        <f aca="false">IF(B371="","",TEXT(B371,"YYYY-MM"))</f>
        <v/>
      </c>
      <c r="M371" s="10" t="str">
        <f aca="false">IF($E371="","",IFERROR(VLOOKUP($E371,Categories!$A:$B,2,FALSE()),""))</f>
        <v/>
      </c>
    </row>
    <row r="372" customFormat="false" ht="15" hidden="false" customHeight="false" outlineLevel="0" collapsed="false">
      <c r="A372" s="10" t="str">
        <f aca="false">IF(B372="","","T"&amp;TEXT(ROW()-4,"0000"))</f>
        <v/>
      </c>
      <c r="B372" s="23"/>
      <c r="C372" s="10"/>
      <c r="D372" s="10"/>
      <c r="E372" s="10"/>
      <c r="F372" s="25"/>
      <c r="G372" s="10"/>
      <c r="H372" s="25"/>
      <c r="I372" s="12" t="str">
        <f aca="false">IF(F372="","",F372+H372)</f>
        <v/>
      </c>
      <c r="J372" s="10"/>
      <c r="K372" s="10"/>
      <c r="L372" s="10" t="str">
        <f aca="false">IF(B372="","",TEXT(B372,"YYYY-MM"))</f>
        <v/>
      </c>
      <c r="M372" s="10" t="str">
        <f aca="false">IF($E372="","",IFERROR(VLOOKUP($E372,Categories!$A:$B,2,FALSE()),""))</f>
        <v/>
      </c>
    </row>
    <row r="373" customFormat="false" ht="15" hidden="false" customHeight="false" outlineLevel="0" collapsed="false">
      <c r="A373" s="10" t="str">
        <f aca="false">IF(B373="","","T"&amp;TEXT(ROW()-4,"0000"))</f>
        <v/>
      </c>
      <c r="B373" s="23"/>
      <c r="C373" s="10"/>
      <c r="D373" s="10"/>
      <c r="E373" s="10"/>
      <c r="F373" s="25"/>
      <c r="G373" s="10"/>
      <c r="H373" s="25"/>
      <c r="I373" s="12" t="str">
        <f aca="false">IF(F373="","",F373+H373)</f>
        <v/>
      </c>
      <c r="J373" s="10"/>
      <c r="K373" s="10"/>
      <c r="L373" s="10" t="str">
        <f aca="false">IF(B373="","",TEXT(B373,"YYYY-MM"))</f>
        <v/>
      </c>
      <c r="M373" s="10" t="str">
        <f aca="false">IF($E373="","",IFERROR(VLOOKUP($E373,Categories!$A:$B,2,FALSE()),""))</f>
        <v/>
      </c>
    </row>
    <row r="374" customFormat="false" ht="15" hidden="false" customHeight="false" outlineLevel="0" collapsed="false">
      <c r="A374" s="10" t="str">
        <f aca="false">IF(B374="","","T"&amp;TEXT(ROW()-4,"0000"))</f>
        <v/>
      </c>
      <c r="B374" s="23"/>
      <c r="C374" s="10"/>
      <c r="D374" s="10"/>
      <c r="E374" s="10"/>
      <c r="F374" s="25"/>
      <c r="G374" s="10"/>
      <c r="H374" s="25"/>
      <c r="I374" s="12" t="str">
        <f aca="false">IF(F374="","",F374+H374)</f>
        <v/>
      </c>
      <c r="J374" s="10"/>
      <c r="K374" s="10"/>
      <c r="L374" s="10" t="str">
        <f aca="false">IF(B374="","",TEXT(B374,"YYYY-MM"))</f>
        <v/>
      </c>
      <c r="M374" s="10" t="str">
        <f aca="false">IF($E374="","",IFERROR(VLOOKUP($E374,Categories!$A:$B,2,FALSE()),""))</f>
        <v/>
      </c>
    </row>
    <row r="375" customFormat="false" ht="15" hidden="false" customHeight="false" outlineLevel="0" collapsed="false">
      <c r="A375" s="10" t="str">
        <f aca="false">IF(B375="","","T"&amp;TEXT(ROW()-4,"0000"))</f>
        <v/>
      </c>
      <c r="B375" s="23"/>
      <c r="C375" s="10"/>
      <c r="D375" s="10"/>
      <c r="E375" s="10"/>
      <c r="F375" s="25"/>
      <c r="G375" s="10"/>
      <c r="H375" s="25"/>
      <c r="I375" s="12" t="str">
        <f aca="false">IF(F375="","",F375+H375)</f>
        <v/>
      </c>
      <c r="J375" s="10"/>
      <c r="K375" s="10"/>
      <c r="L375" s="10" t="str">
        <f aca="false">IF(B375="","",TEXT(B375,"YYYY-MM"))</f>
        <v/>
      </c>
      <c r="M375" s="10" t="str">
        <f aca="false">IF($E375="","",IFERROR(VLOOKUP($E375,Categories!$A:$B,2,FALSE()),""))</f>
        <v/>
      </c>
    </row>
    <row r="376" customFormat="false" ht="15" hidden="false" customHeight="false" outlineLevel="0" collapsed="false">
      <c r="A376" s="10" t="str">
        <f aca="false">IF(B376="","","T"&amp;TEXT(ROW()-4,"0000"))</f>
        <v/>
      </c>
      <c r="B376" s="23"/>
      <c r="C376" s="10"/>
      <c r="D376" s="10"/>
      <c r="E376" s="10"/>
      <c r="F376" s="25"/>
      <c r="G376" s="10"/>
      <c r="H376" s="25"/>
      <c r="I376" s="12" t="str">
        <f aca="false">IF(F376="","",F376+H376)</f>
        <v/>
      </c>
      <c r="J376" s="10"/>
      <c r="K376" s="10"/>
      <c r="L376" s="10" t="str">
        <f aca="false">IF(B376="","",TEXT(B376,"YYYY-MM"))</f>
        <v/>
      </c>
      <c r="M376" s="10" t="str">
        <f aca="false">IF($E376="","",IFERROR(VLOOKUP($E376,Categories!$A:$B,2,FALSE()),""))</f>
        <v/>
      </c>
    </row>
    <row r="377" customFormat="false" ht="15" hidden="false" customHeight="false" outlineLevel="0" collapsed="false">
      <c r="A377" s="10" t="str">
        <f aca="false">IF(B377="","","T"&amp;TEXT(ROW()-4,"0000"))</f>
        <v/>
      </c>
      <c r="B377" s="23"/>
      <c r="C377" s="10"/>
      <c r="D377" s="10"/>
      <c r="E377" s="10"/>
      <c r="F377" s="25"/>
      <c r="G377" s="10"/>
      <c r="H377" s="25"/>
      <c r="I377" s="12" t="str">
        <f aca="false">IF(F377="","",F377+H377)</f>
        <v/>
      </c>
      <c r="J377" s="10"/>
      <c r="K377" s="10"/>
      <c r="L377" s="10" t="str">
        <f aca="false">IF(B377="","",TEXT(B377,"YYYY-MM"))</f>
        <v/>
      </c>
      <c r="M377" s="10" t="str">
        <f aca="false">IF($E377="","",IFERROR(VLOOKUP($E377,Categories!$A:$B,2,FALSE()),""))</f>
        <v/>
      </c>
    </row>
    <row r="378" customFormat="false" ht="15" hidden="false" customHeight="false" outlineLevel="0" collapsed="false">
      <c r="A378" s="10" t="str">
        <f aca="false">IF(B378="","","T"&amp;TEXT(ROW()-4,"0000"))</f>
        <v/>
      </c>
      <c r="B378" s="23"/>
      <c r="C378" s="10"/>
      <c r="D378" s="10"/>
      <c r="E378" s="10"/>
      <c r="F378" s="25"/>
      <c r="G378" s="10"/>
      <c r="H378" s="25"/>
      <c r="I378" s="12" t="str">
        <f aca="false">IF(F378="","",F378+H378)</f>
        <v/>
      </c>
      <c r="J378" s="10"/>
      <c r="K378" s="10"/>
      <c r="L378" s="10" t="str">
        <f aca="false">IF(B378="","",TEXT(B378,"YYYY-MM"))</f>
        <v/>
      </c>
      <c r="M378" s="10" t="str">
        <f aca="false">IF($E378="","",IFERROR(VLOOKUP($E378,Categories!$A:$B,2,FALSE()),""))</f>
        <v/>
      </c>
    </row>
    <row r="379" customFormat="false" ht="15" hidden="false" customHeight="false" outlineLevel="0" collapsed="false">
      <c r="A379" s="10" t="str">
        <f aca="false">IF(B379="","","T"&amp;TEXT(ROW()-4,"0000"))</f>
        <v/>
      </c>
      <c r="B379" s="23"/>
      <c r="C379" s="10"/>
      <c r="D379" s="10"/>
      <c r="E379" s="10"/>
      <c r="F379" s="25"/>
      <c r="G379" s="10"/>
      <c r="H379" s="25"/>
      <c r="I379" s="12" t="str">
        <f aca="false">IF(F379="","",F379+H379)</f>
        <v/>
      </c>
      <c r="J379" s="10"/>
      <c r="K379" s="10"/>
      <c r="L379" s="10" t="str">
        <f aca="false">IF(B379="","",TEXT(B379,"YYYY-MM"))</f>
        <v/>
      </c>
      <c r="M379" s="10" t="str">
        <f aca="false">IF($E379="","",IFERROR(VLOOKUP($E379,Categories!$A:$B,2,FALSE()),""))</f>
        <v/>
      </c>
    </row>
    <row r="380" customFormat="false" ht="15" hidden="false" customHeight="false" outlineLevel="0" collapsed="false">
      <c r="A380" s="10" t="str">
        <f aca="false">IF(B380="","","T"&amp;TEXT(ROW()-4,"0000"))</f>
        <v/>
      </c>
      <c r="B380" s="23"/>
      <c r="C380" s="10"/>
      <c r="D380" s="10"/>
      <c r="E380" s="10"/>
      <c r="F380" s="25"/>
      <c r="G380" s="10"/>
      <c r="H380" s="25"/>
      <c r="I380" s="12" t="str">
        <f aca="false">IF(F380="","",F380+H380)</f>
        <v/>
      </c>
      <c r="J380" s="10"/>
      <c r="K380" s="10"/>
      <c r="L380" s="10" t="str">
        <f aca="false">IF(B380="","",TEXT(B380,"YYYY-MM"))</f>
        <v/>
      </c>
      <c r="M380" s="10" t="str">
        <f aca="false">IF($E380="","",IFERROR(VLOOKUP($E380,Categories!$A:$B,2,FALSE()),""))</f>
        <v/>
      </c>
    </row>
    <row r="381" customFormat="false" ht="15" hidden="false" customHeight="false" outlineLevel="0" collapsed="false">
      <c r="A381" s="10" t="str">
        <f aca="false">IF(B381="","","T"&amp;TEXT(ROW()-4,"0000"))</f>
        <v/>
      </c>
      <c r="B381" s="23"/>
      <c r="C381" s="10"/>
      <c r="D381" s="10"/>
      <c r="E381" s="10"/>
      <c r="F381" s="25"/>
      <c r="G381" s="10"/>
      <c r="H381" s="25"/>
      <c r="I381" s="12" t="str">
        <f aca="false">IF(F381="","",F381+H381)</f>
        <v/>
      </c>
      <c r="J381" s="10"/>
      <c r="K381" s="10"/>
      <c r="L381" s="10" t="str">
        <f aca="false">IF(B381="","",TEXT(B381,"YYYY-MM"))</f>
        <v/>
      </c>
      <c r="M381" s="10" t="str">
        <f aca="false">IF($E381="","",IFERROR(VLOOKUP($E381,Categories!$A:$B,2,FALSE()),""))</f>
        <v/>
      </c>
    </row>
    <row r="382" customFormat="false" ht="15" hidden="false" customHeight="false" outlineLevel="0" collapsed="false">
      <c r="A382" s="10" t="str">
        <f aca="false">IF(B382="","","T"&amp;TEXT(ROW()-4,"0000"))</f>
        <v/>
      </c>
      <c r="B382" s="23"/>
      <c r="C382" s="10"/>
      <c r="D382" s="10"/>
      <c r="E382" s="10"/>
      <c r="F382" s="25"/>
      <c r="G382" s="10"/>
      <c r="H382" s="25"/>
      <c r="I382" s="12" t="str">
        <f aca="false">IF(F382="","",F382+H382)</f>
        <v/>
      </c>
      <c r="J382" s="10"/>
      <c r="K382" s="10"/>
      <c r="L382" s="10" t="str">
        <f aca="false">IF(B382="","",TEXT(B382,"YYYY-MM"))</f>
        <v/>
      </c>
      <c r="M382" s="10" t="str">
        <f aca="false">IF($E382="","",IFERROR(VLOOKUP($E382,Categories!$A:$B,2,FALSE()),""))</f>
        <v/>
      </c>
    </row>
    <row r="383" customFormat="false" ht="15" hidden="false" customHeight="false" outlineLevel="0" collapsed="false">
      <c r="A383" s="10" t="str">
        <f aca="false">IF(B383="","","T"&amp;TEXT(ROW()-4,"0000"))</f>
        <v/>
      </c>
      <c r="B383" s="23"/>
      <c r="C383" s="10"/>
      <c r="D383" s="10"/>
      <c r="E383" s="10"/>
      <c r="F383" s="25"/>
      <c r="G383" s="10"/>
      <c r="H383" s="25"/>
      <c r="I383" s="12" t="str">
        <f aca="false">IF(F383="","",F383+H383)</f>
        <v/>
      </c>
      <c r="J383" s="10"/>
      <c r="K383" s="10"/>
      <c r="L383" s="10" t="str">
        <f aca="false">IF(B383="","",TEXT(B383,"YYYY-MM"))</f>
        <v/>
      </c>
      <c r="M383" s="10" t="str">
        <f aca="false">IF($E383="","",IFERROR(VLOOKUP($E383,Categories!$A:$B,2,FALSE()),""))</f>
        <v/>
      </c>
    </row>
    <row r="384" customFormat="false" ht="15" hidden="false" customHeight="false" outlineLevel="0" collapsed="false">
      <c r="A384" s="10" t="str">
        <f aca="false">IF(B384="","","T"&amp;TEXT(ROW()-4,"0000"))</f>
        <v/>
      </c>
      <c r="B384" s="23"/>
      <c r="C384" s="10"/>
      <c r="D384" s="10"/>
      <c r="E384" s="10"/>
      <c r="F384" s="25"/>
      <c r="G384" s="10"/>
      <c r="H384" s="25"/>
      <c r="I384" s="12" t="str">
        <f aca="false">IF(F384="","",F384+H384)</f>
        <v/>
      </c>
      <c r="J384" s="10"/>
      <c r="K384" s="10"/>
      <c r="L384" s="10" t="str">
        <f aca="false">IF(B384="","",TEXT(B384,"YYYY-MM"))</f>
        <v/>
      </c>
      <c r="M384" s="10" t="str">
        <f aca="false">IF($E384="","",IFERROR(VLOOKUP($E384,Categories!$A:$B,2,FALSE()),""))</f>
        <v/>
      </c>
    </row>
    <row r="385" customFormat="false" ht="15" hidden="false" customHeight="false" outlineLevel="0" collapsed="false">
      <c r="A385" s="10" t="str">
        <f aca="false">IF(B385="","","T"&amp;TEXT(ROW()-4,"0000"))</f>
        <v/>
      </c>
      <c r="B385" s="23"/>
      <c r="C385" s="10"/>
      <c r="D385" s="10"/>
      <c r="E385" s="10"/>
      <c r="F385" s="25"/>
      <c r="G385" s="10"/>
      <c r="H385" s="25"/>
      <c r="I385" s="12" t="str">
        <f aca="false">IF(F385="","",F385+H385)</f>
        <v/>
      </c>
      <c r="J385" s="10"/>
      <c r="K385" s="10"/>
      <c r="L385" s="10" t="str">
        <f aca="false">IF(B385="","",TEXT(B385,"YYYY-MM"))</f>
        <v/>
      </c>
      <c r="M385" s="10" t="str">
        <f aca="false">IF($E385="","",IFERROR(VLOOKUP($E385,Categories!$A:$B,2,FALSE()),""))</f>
        <v/>
      </c>
    </row>
    <row r="386" customFormat="false" ht="15" hidden="false" customHeight="false" outlineLevel="0" collapsed="false">
      <c r="A386" s="10" t="str">
        <f aca="false">IF(B386="","","T"&amp;TEXT(ROW()-4,"0000"))</f>
        <v/>
      </c>
      <c r="B386" s="23"/>
      <c r="C386" s="10"/>
      <c r="D386" s="10"/>
      <c r="E386" s="10"/>
      <c r="F386" s="25"/>
      <c r="G386" s="10"/>
      <c r="H386" s="25"/>
      <c r="I386" s="12" t="str">
        <f aca="false">IF(F386="","",F386+H386)</f>
        <v/>
      </c>
      <c r="J386" s="10"/>
      <c r="K386" s="10"/>
      <c r="L386" s="10" t="str">
        <f aca="false">IF(B386="","",TEXT(B386,"YYYY-MM"))</f>
        <v/>
      </c>
      <c r="M386" s="10" t="str">
        <f aca="false">IF($E386="","",IFERROR(VLOOKUP($E386,Categories!$A:$B,2,FALSE()),""))</f>
        <v/>
      </c>
    </row>
    <row r="387" customFormat="false" ht="15" hidden="false" customHeight="false" outlineLevel="0" collapsed="false">
      <c r="A387" s="10" t="str">
        <f aca="false">IF(B387="","","T"&amp;TEXT(ROW()-4,"0000"))</f>
        <v/>
      </c>
      <c r="B387" s="23"/>
      <c r="C387" s="10"/>
      <c r="D387" s="10"/>
      <c r="E387" s="10"/>
      <c r="F387" s="25"/>
      <c r="G387" s="10"/>
      <c r="H387" s="25"/>
      <c r="I387" s="12" t="str">
        <f aca="false">IF(F387="","",F387+H387)</f>
        <v/>
      </c>
      <c r="J387" s="10"/>
      <c r="K387" s="10"/>
      <c r="L387" s="10" t="str">
        <f aca="false">IF(B387="","",TEXT(B387,"YYYY-MM"))</f>
        <v/>
      </c>
      <c r="M387" s="10" t="str">
        <f aca="false">IF($E387="","",IFERROR(VLOOKUP($E387,Categories!$A:$B,2,FALSE()),""))</f>
        <v/>
      </c>
    </row>
    <row r="388" customFormat="false" ht="15" hidden="false" customHeight="false" outlineLevel="0" collapsed="false">
      <c r="A388" s="10" t="str">
        <f aca="false">IF(B388="","","T"&amp;TEXT(ROW()-4,"0000"))</f>
        <v/>
      </c>
      <c r="B388" s="23"/>
      <c r="C388" s="10"/>
      <c r="D388" s="10"/>
      <c r="E388" s="10"/>
      <c r="F388" s="25"/>
      <c r="G388" s="10"/>
      <c r="H388" s="25"/>
      <c r="I388" s="12" t="str">
        <f aca="false">IF(F388="","",F388+H388)</f>
        <v/>
      </c>
      <c r="J388" s="10"/>
      <c r="K388" s="10"/>
      <c r="L388" s="10" t="str">
        <f aca="false">IF(B388="","",TEXT(B388,"YYYY-MM"))</f>
        <v/>
      </c>
      <c r="M388" s="10" t="str">
        <f aca="false">IF($E388="","",IFERROR(VLOOKUP($E388,Categories!$A:$B,2,FALSE()),""))</f>
        <v/>
      </c>
    </row>
    <row r="389" customFormat="false" ht="15" hidden="false" customHeight="false" outlineLevel="0" collapsed="false">
      <c r="A389" s="10" t="str">
        <f aca="false">IF(B389="","","T"&amp;TEXT(ROW()-4,"0000"))</f>
        <v/>
      </c>
      <c r="B389" s="23"/>
      <c r="C389" s="10"/>
      <c r="D389" s="10"/>
      <c r="E389" s="10"/>
      <c r="F389" s="25"/>
      <c r="G389" s="10"/>
      <c r="H389" s="25"/>
      <c r="I389" s="12" t="str">
        <f aca="false">IF(F389="","",F389+H389)</f>
        <v/>
      </c>
      <c r="J389" s="10"/>
      <c r="K389" s="10"/>
      <c r="L389" s="10" t="str">
        <f aca="false">IF(B389="","",TEXT(B389,"YYYY-MM"))</f>
        <v/>
      </c>
      <c r="M389" s="10" t="str">
        <f aca="false">IF($E389="","",IFERROR(VLOOKUP($E389,Categories!$A:$B,2,FALSE()),""))</f>
        <v/>
      </c>
    </row>
    <row r="390" customFormat="false" ht="15" hidden="false" customHeight="false" outlineLevel="0" collapsed="false">
      <c r="A390" s="10" t="str">
        <f aca="false">IF(B390="","","T"&amp;TEXT(ROW()-4,"0000"))</f>
        <v/>
      </c>
      <c r="B390" s="23"/>
      <c r="C390" s="10"/>
      <c r="D390" s="10"/>
      <c r="E390" s="10"/>
      <c r="F390" s="25"/>
      <c r="G390" s="10"/>
      <c r="H390" s="25"/>
      <c r="I390" s="12" t="str">
        <f aca="false">IF(F390="","",F390+H390)</f>
        <v/>
      </c>
      <c r="J390" s="10"/>
      <c r="K390" s="10"/>
      <c r="L390" s="10" t="str">
        <f aca="false">IF(B390="","",TEXT(B390,"YYYY-MM"))</f>
        <v/>
      </c>
      <c r="M390" s="10" t="str">
        <f aca="false">IF($E390="","",IFERROR(VLOOKUP($E390,Categories!$A:$B,2,FALSE()),""))</f>
        <v/>
      </c>
    </row>
    <row r="391" customFormat="false" ht="15" hidden="false" customHeight="false" outlineLevel="0" collapsed="false">
      <c r="A391" s="10" t="str">
        <f aca="false">IF(B391="","","T"&amp;TEXT(ROW()-4,"0000"))</f>
        <v/>
      </c>
      <c r="B391" s="23"/>
      <c r="C391" s="10"/>
      <c r="D391" s="10"/>
      <c r="E391" s="10"/>
      <c r="F391" s="25"/>
      <c r="G391" s="10"/>
      <c r="H391" s="25"/>
      <c r="I391" s="12" t="str">
        <f aca="false">IF(F391="","",F391+H391)</f>
        <v/>
      </c>
      <c r="J391" s="10"/>
      <c r="K391" s="10"/>
      <c r="L391" s="10" t="str">
        <f aca="false">IF(B391="","",TEXT(B391,"YYYY-MM"))</f>
        <v/>
      </c>
      <c r="M391" s="10" t="str">
        <f aca="false">IF($E391="","",IFERROR(VLOOKUP($E391,Categories!$A:$B,2,FALSE()),""))</f>
        <v/>
      </c>
    </row>
    <row r="392" customFormat="false" ht="15" hidden="false" customHeight="false" outlineLevel="0" collapsed="false">
      <c r="A392" s="10" t="str">
        <f aca="false">IF(B392="","","T"&amp;TEXT(ROW()-4,"0000"))</f>
        <v/>
      </c>
      <c r="B392" s="23"/>
      <c r="C392" s="10"/>
      <c r="D392" s="10"/>
      <c r="E392" s="10"/>
      <c r="F392" s="25"/>
      <c r="G392" s="10"/>
      <c r="H392" s="25"/>
      <c r="I392" s="12" t="str">
        <f aca="false">IF(F392="","",F392+H392)</f>
        <v/>
      </c>
      <c r="J392" s="10"/>
      <c r="K392" s="10"/>
      <c r="L392" s="10" t="str">
        <f aca="false">IF(B392="","",TEXT(B392,"YYYY-MM"))</f>
        <v/>
      </c>
      <c r="M392" s="10" t="str">
        <f aca="false">IF($E392="","",IFERROR(VLOOKUP($E392,Categories!$A:$B,2,FALSE()),""))</f>
        <v/>
      </c>
    </row>
    <row r="393" customFormat="false" ht="15" hidden="false" customHeight="false" outlineLevel="0" collapsed="false">
      <c r="A393" s="10" t="str">
        <f aca="false">IF(B393="","","T"&amp;TEXT(ROW()-4,"0000"))</f>
        <v/>
      </c>
      <c r="B393" s="23"/>
      <c r="C393" s="10"/>
      <c r="D393" s="10"/>
      <c r="E393" s="10"/>
      <c r="F393" s="25"/>
      <c r="G393" s="10"/>
      <c r="H393" s="25"/>
      <c r="I393" s="12" t="str">
        <f aca="false">IF(F393="","",F393+H393)</f>
        <v/>
      </c>
      <c r="J393" s="10"/>
      <c r="K393" s="10"/>
      <c r="L393" s="10" t="str">
        <f aca="false">IF(B393="","",TEXT(B393,"YYYY-MM"))</f>
        <v/>
      </c>
      <c r="M393" s="10" t="str">
        <f aca="false">IF($E393="","",IFERROR(VLOOKUP($E393,Categories!$A:$B,2,FALSE()),""))</f>
        <v/>
      </c>
    </row>
    <row r="394" customFormat="false" ht="15" hidden="false" customHeight="false" outlineLevel="0" collapsed="false">
      <c r="A394" s="10" t="str">
        <f aca="false">IF(B394="","","T"&amp;TEXT(ROW()-4,"0000"))</f>
        <v/>
      </c>
      <c r="B394" s="23"/>
      <c r="C394" s="10"/>
      <c r="D394" s="10"/>
      <c r="E394" s="10"/>
      <c r="F394" s="25"/>
      <c r="G394" s="10"/>
      <c r="H394" s="25"/>
      <c r="I394" s="12" t="str">
        <f aca="false">IF(F394="","",F394+H394)</f>
        <v/>
      </c>
      <c r="J394" s="10"/>
      <c r="K394" s="10"/>
      <c r="L394" s="10" t="str">
        <f aca="false">IF(B394="","",TEXT(B394,"YYYY-MM"))</f>
        <v/>
      </c>
      <c r="M394" s="10" t="str">
        <f aca="false">IF($E394="","",IFERROR(VLOOKUP($E394,Categories!$A:$B,2,FALSE()),""))</f>
        <v/>
      </c>
    </row>
    <row r="395" customFormat="false" ht="15" hidden="false" customHeight="false" outlineLevel="0" collapsed="false">
      <c r="A395" s="10" t="str">
        <f aca="false">IF(B395="","","T"&amp;TEXT(ROW()-4,"0000"))</f>
        <v/>
      </c>
      <c r="B395" s="23"/>
      <c r="C395" s="10"/>
      <c r="D395" s="10"/>
      <c r="E395" s="10"/>
      <c r="F395" s="25"/>
      <c r="G395" s="10"/>
      <c r="H395" s="25"/>
      <c r="I395" s="12" t="str">
        <f aca="false">IF(F395="","",F395+H395)</f>
        <v/>
      </c>
      <c r="J395" s="10"/>
      <c r="K395" s="10"/>
      <c r="L395" s="10" t="str">
        <f aca="false">IF(B395="","",TEXT(B395,"YYYY-MM"))</f>
        <v/>
      </c>
      <c r="M395" s="10" t="str">
        <f aca="false">IF($E395="","",IFERROR(VLOOKUP($E395,Categories!$A:$B,2,FALSE()),""))</f>
        <v/>
      </c>
    </row>
    <row r="396" customFormat="false" ht="15" hidden="false" customHeight="false" outlineLevel="0" collapsed="false">
      <c r="A396" s="10" t="str">
        <f aca="false">IF(B396="","","T"&amp;TEXT(ROW()-4,"0000"))</f>
        <v/>
      </c>
      <c r="B396" s="23"/>
      <c r="C396" s="10"/>
      <c r="D396" s="10"/>
      <c r="E396" s="10"/>
      <c r="F396" s="25"/>
      <c r="G396" s="10"/>
      <c r="H396" s="25"/>
      <c r="I396" s="12" t="str">
        <f aca="false">IF(F396="","",F396+H396)</f>
        <v/>
      </c>
      <c r="J396" s="10"/>
      <c r="K396" s="10"/>
      <c r="L396" s="10" t="str">
        <f aca="false">IF(B396="","",TEXT(B396,"YYYY-MM"))</f>
        <v/>
      </c>
      <c r="M396" s="10" t="str">
        <f aca="false">IF($E396="","",IFERROR(VLOOKUP($E396,Categories!$A:$B,2,FALSE()),""))</f>
        <v/>
      </c>
    </row>
    <row r="397" customFormat="false" ht="15" hidden="false" customHeight="false" outlineLevel="0" collapsed="false">
      <c r="A397" s="10" t="str">
        <f aca="false">IF(B397="","","T"&amp;TEXT(ROW()-4,"0000"))</f>
        <v/>
      </c>
      <c r="B397" s="23"/>
      <c r="C397" s="10"/>
      <c r="D397" s="10"/>
      <c r="E397" s="10"/>
      <c r="F397" s="25"/>
      <c r="G397" s="10"/>
      <c r="H397" s="25"/>
      <c r="I397" s="12" t="str">
        <f aca="false">IF(F397="","",F397+H397)</f>
        <v/>
      </c>
      <c r="J397" s="10"/>
      <c r="K397" s="10"/>
      <c r="L397" s="10" t="str">
        <f aca="false">IF(B397="","",TEXT(B397,"YYYY-MM"))</f>
        <v/>
      </c>
      <c r="M397" s="10" t="str">
        <f aca="false">IF($E397="","",IFERROR(VLOOKUP($E397,Categories!$A:$B,2,FALSE()),""))</f>
        <v/>
      </c>
    </row>
    <row r="398" customFormat="false" ht="15" hidden="false" customHeight="false" outlineLevel="0" collapsed="false">
      <c r="A398" s="10" t="str">
        <f aca="false">IF(B398="","","T"&amp;TEXT(ROW()-4,"0000"))</f>
        <v/>
      </c>
      <c r="B398" s="23"/>
      <c r="C398" s="10"/>
      <c r="D398" s="10"/>
      <c r="E398" s="10"/>
      <c r="F398" s="25"/>
      <c r="G398" s="10"/>
      <c r="H398" s="25"/>
      <c r="I398" s="12" t="str">
        <f aca="false">IF(F398="","",F398+H398)</f>
        <v/>
      </c>
      <c r="J398" s="10"/>
      <c r="K398" s="10"/>
      <c r="L398" s="10" t="str">
        <f aca="false">IF(B398="","",TEXT(B398,"YYYY-MM"))</f>
        <v/>
      </c>
      <c r="M398" s="10" t="str">
        <f aca="false">IF($E398="","",IFERROR(VLOOKUP($E398,Categories!$A:$B,2,FALSE()),""))</f>
        <v/>
      </c>
    </row>
    <row r="399" customFormat="false" ht="15" hidden="false" customHeight="false" outlineLevel="0" collapsed="false">
      <c r="A399" s="10" t="str">
        <f aca="false">IF(B399="","","T"&amp;TEXT(ROW()-4,"0000"))</f>
        <v/>
      </c>
      <c r="B399" s="23"/>
      <c r="C399" s="10"/>
      <c r="D399" s="10"/>
      <c r="E399" s="10"/>
      <c r="F399" s="25"/>
      <c r="G399" s="10"/>
      <c r="H399" s="25"/>
      <c r="I399" s="12" t="str">
        <f aca="false">IF(F399="","",F399+H399)</f>
        <v/>
      </c>
      <c r="J399" s="10"/>
      <c r="K399" s="10"/>
      <c r="L399" s="10" t="str">
        <f aca="false">IF(B399="","",TEXT(B399,"YYYY-MM"))</f>
        <v/>
      </c>
      <c r="M399" s="10" t="str">
        <f aca="false">IF($E399="","",IFERROR(VLOOKUP($E399,Categories!$A:$B,2,FALSE()),""))</f>
        <v/>
      </c>
    </row>
    <row r="400" customFormat="false" ht="15" hidden="false" customHeight="false" outlineLevel="0" collapsed="false">
      <c r="A400" s="10" t="str">
        <f aca="false">IF(B400="","","T"&amp;TEXT(ROW()-4,"0000"))</f>
        <v/>
      </c>
      <c r="B400" s="23"/>
      <c r="C400" s="10"/>
      <c r="D400" s="10"/>
      <c r="E400" s="10"/>
      <c r="F400" s="25"/>
      <c r="G400" s="10"/>
      <c r="H400" s="25"/>
      <c r="I400" s="12" t="str">
        <f aca="false">IF(F400="","",F400+H400)</f>
        <v/>
      </c>
      <c r="J400" s="10"/>
      <c r="K400" s="10"/>
      <c r="L400" s="10" t="str">
        <f aca="false">IF(B400="","",TEXT(B400,"YYYY-MM"))</f>
        <v/>
      </c>
      <c r="M400" s="10" t="str">
        <f aca="false">IF($E400="","",IFERROR(VLOOKUP($E400,Categories!$A:$B,2,FALSE()),""))</f>
        <v/>
      </c>
    </row>
    <row r="401" customFormat="false" ht="15" hidden="false" customHeight="false" outlineLevel="0" collapsed="false">
      <c r="A401" s="10" t="str">
        <f aca="false">IF(B401="","","T"&amp;TEXT(ROW()-4,"0000"))</f>
        <v/>
      </c>
      <c r="B401" s="23"/>
      <c r="C401" s="10"/>
      <c r="D401" s="10"/>
      <c r="E401" s="10"/>
      <c r="F401" s="25"/>
      <c r="G401" s="10"/>
      <c r="H401" s="25"/>
      <c r="I401" s="12" t="str">
        <f aca="false">IF(F401="","",F401+H401)</f>
        <v/>
      </c>
      <c r="J401" s="10"/>
      <c r="K401" s="10"/>
      <c r="L401" s="10" t="str">
        <f aca="false">IF(B401="","",TEXT(B401,"YYYY-MM"))</f>
        <v/>
      </c>
      <c r="M401" s="10" t="str">
        <f aca="false">IF($E401="","",IFERROR(VLOOKUP($E401,Categories!$A:$B,2,FALSE()),""))</f>
        <v/>
      </c>
    </row>
    <row r="402" customFormat="false" ht="15" hidden="false" customHeight="false" outlineLevel="0" collapsed="false">
      <c r="A402" s="10" t="str">
        <f aca="false">IF(B402="","","T"&amp;TEXT(ROW()-4,"0000"))</f>
        <v/>
      </c>
      <c r="B402" s="23"/>
      <c r="C402" s="10"/>
      <c r="D402" s="10"/>
      <c r="E402" s="10"/>
      <c r="F402" s="25"/>
      <c r="G402" s="10"/>
      <c r="H402" s="25"/>
      <c r="I402" s="12" t="str">
        <f aca="false">IF(F402="","",F402+H402)</f>
        <v/>
      </c>
      <c r="J402" s="10"/>
      <c r="K402" s="10"/>
      <c r="L402" s="10" t="str">
        <f aca="false">IF(B402="","",TEXT(B402,"YYYY-MM"))</f>
        <v/>
      </c>
      <c r="M402" s="10" t="str">
        <f aca="false">IF($E402="","",IFERROR(VLOOKUP($E402,Categories!$A:$B,2,FALSE()),""))</f>
        <v/>
      </c>
    </row>
    <row r="403" customFormat="false" ht="15" hidden="false" customHeight="false" outlineLevel="0" collapsed="false">
      <c r="A403" s="10" t="str">
        <f aca="false">IF(B403="","","T"&amp;TEXT(ROW()-4,"0000"))</f>
        <v/>
      </c>
      <c r="B403" s="23"/>
      <c r="C403" s="10"/>
      <c r="D403" s="10"/>
      <c r="E403" s="10"/>
      <c r="F403" s="25"/>
      <c r="G403" s="10"/>
      <c r="H403" s="25"/>
      <c r="I403" s="12" t="str">
        <f aca="false">IF(F403="","",F403+H403)</f>
        <v/>
      </c>
      <c r="J403" s="10"/>
      <c r="K403" s="10"/>
      <c r="L403" s="10" t="str">
        <f aca="false">IF(B403="","",TEXT(B403,"YYYY-MM"))</f>
        <v/>
      </c>
      <c r="M403" s="10" t="str">
        <f aca="false">IF($E403="","",IFERROR(VLOOKUP($E403,Categories!$A:$B,2,FALSE()),""))</f>
        <v/>
      </c>
    </row>
    <row r="404" customFormat="false" ht="15" hidden="false" customHeight="false" outlineLevel="0" collapsed="false">
      <c r="A404" s="10" t="str">
        <f aca="false">IF(B404="","","T"&amp;TEXT(ROW()-4,"0000"))</f>
        <v/>
      </c>
      <c r="B404" s="23"/>
      <c r="C404" s="10"/>
      <c r="D404" s="10"/>
      <c r="E404" s="10"/>
      <c r="F404" s="25"/>
      <c r="G404" s="10"/>
      <c r="H404" s="25"/>
      <c r="I404" s="12" t="str">
        <f aca="false">IF(F404="","",F404+H404)</f>
        <v/>
      </c>
      <c r="J404" s="10"/>
      <c r="K404" s="10"/>
      <c r="L404" s="10" t="str">
        <f aca="false">IF(B404="","",TEXT(B404,"YYYY-MM"))</f>
        <v/>
      </c>
      <c r="M404" s="10" t="str">
        <f aca="false">IF($E404="","",IFERROR(VLOOKUP($E404,Categories!$A:$B,2,FALSE()),""))</f>
        <v/>
      </c>
    </row>
    <row r="405" customFormat="false" ht="15" hidden="false" customHeight="false" outlineLevel="0" collapsed="false">
      <c r="A405" s="10" t="str">
        <f aca="false">IF(B405="","","T"&amp;TEXT(ROW()-4,"0000"))</f>
        <v/>
      </c>
      <c r="B405" s="23"/>
      <c r="C405" s="10"/>
      <c r="D405" s="10"/>
      <c r="E405" s="10"/>
      <c r="F405" s="25"/>
      <c r="G405" s="10"/>
      <c r="H405" s="25"/>
      <c r="I405" s="12" t="str">
        <f aca="false">IF(F405="","",F405+H405)</f>
        <v/>
      </c>
      <c r="J405" s="10"/>
      <c r="K405" s="10"/>
      <c r="L405" s="10" t="str">
        <f aca="false">IF(B405="","",TEXT(B405,"YYYY-MM"))</f>
        <v/>
      </c>
      <c r="M405" s="10" t="str">
        <f aca="false">IF($E405="","",IFERROR(VLOOKUP($E405,Categories!$A:$B,2,FALSE()),""))</f>
        <v/>
      </c>
    </row>
    <row r="406" customFormat="false" ht="15" hidden="false" customHeight="false" outlineLevel="0" collapsed="false">
      <c r="A406" s="10" t="str">
        <f aca="false">IF(B406="","","T"&amp;TEXT(ROW()-4,"0000"))</f>
        <v/>
      </c>
      <c r="B406" s="23"/>
      <c r="C406" s="10"/>
      <c r="D406" s="10"/>
      <c r="E406" s="10"/>
      <c r="F406" s="25"/>
      <c r="G406" s="10"/>
      <c r="H406" s="25"/>
      <c r="I406" s="12" t="str">
        <f aca="false">IF(F406="","",F406+H406)</f>
        <v/>
      </c>
      <c r="J406" s="10"/>
      <c r="K406" s="10"/>
      <c r="L406" s="10" t="str">
        <f aca="false">IF(B406="","",TEXT(B406,"YYYY-MM"))</f>
        <v/>
      </c>
      <c r="M406" s="10" t="str">
        <f aca="false">IF($E406="","",IFERROR(VLOOKUP($E406,Categories!$A:$B,2,FALSE()),""))</f>
        <v/>
      </c>
    </row>
    <row r="407" customFormat="false" ht="15" hidden="false" customHeight="false" outlineLevel="0" collapsed="false">
      <c r="A407" s="10" t="str">
        <f aca="false">IF(B407="","","T"&amp;TEXT(ROW()-4,"0000"))</f>
        <v/>
      </c>
      <c r="B407" s="23"/>
      <c r="C407" s="10"/>
      <c r="D407" s="10"/>
      <c r="E407" s="10"/>
      <c r="F407" s="25"/>
      <c r="G407" s="10"/>
      <c r="H407" s="25"/>
      <c r="I407" s="12" t="str">
        <f aca="false">IF(F407="","",F407+H407)</f>
        <v/>
      </c>
      <c r="J407" s="10"/>
      <c r="K407" s="10"/>
      <c r="L407" s="10" t="str">
        <f aca="false">IF(B407="","",TEXT(B407,"YYYY-MM"))</f>
        <v/>
      </c>
      <c r="M407" s="10" t="str">
        <f aca="false">IF($E407="","",IFERROR(VLOOKUP($E407,Categories!$A:$B,2,FALSE()),""))</f>
        <v/>
      </c>
    </row>
    <row r="408" customFormat="false" ht="15" hidden="false" customHeight="false" outlineLevel="0" collapsed="false">
      <c r="A408" s="10" t="str">
        <f aca="false">IF(B408="","","T"&amp;TEXT(ROW()-4,"0000"))</f>
        <v/>
      </c>
      <c r="B408" s="23"/>
      <c r="C408" s="10"/>
      <c r="D408" s="10"/>
      <c r="E408" s="10"/>
      <c r="F408" s="25"/>
      <c r="G408" s="10"/>
      <c r="H408" s="25"/>
      <c r="I408" s="12" t="str">
        <f aca="false">IF(F408="","",F408+H408)</f>
        <v/>
      </c>
      <c r="J408" s="10"/>
      <c r="K408" s="10"/>
      <c r="L408" s="10" t="str">
        <f aca="false">IF(B408="","",TEXT(B408,"YYYY-MM"))</f>
        <v/>
      </c>
      <c r="M408" s="10" t="str">
        <f aca="false">IF($E408="","",IFERROR(VLOOKUP($E408,Categories!$A:$B,2,FALSE()),""))</f>
        <v/>
      </c>
    </row>
    <row r="409" customFormat="false" ht="15" hidden="false" customHeight="false" outlineLevel="0" collapsed="false">
      <c r="A409" s="10" t="str">
        <f aca="false">IF(B409="","","T"&amp;TEXT(ROW()-4,"0000"))</f>
        <v/>
      </c>
      <c r="B409" s="23"/>
      <c r="C409" s="10"/>
      <c r="D409" s="10"/>
      <c r="E409" s="10"/>
      <c r="F409" s="25"/>
      <c r="G409" s="10"/>
      <c r="H409" s="25"/>
      <c r="I409" s="12" t="str">
        <f aca="false">IF(F409="","",F409+H409)</f>
        <v/>
      </c>
      <c r="J409" s="10"/>
      <c r="K409" s="10"/>
      <c r="L409" s="10" t="str">
        <f aca="false">IF(B409="","",TEXT(B409,"YYYY-MM"))</f>
        <v/>
      </c>
      <c r="M409" s="10" t="str">
        <f aca="false">IF($E409="","",IFERROR(VLOOKUP($E409,Categories!$A:$B,2,FALSE()),""))</f>
        <v/>
      </c>
    </row>
    <row r="410" customFormat="false" ht="15" hidden="false" customHeight="false" outlineLevel="0" collapsed="false">
      <c r="A410" s="10" t="str">
        <f aca="false">IF(B410="","","T"&amp;TEXT(ROW()-4,"0000"))</f>
        <v/>
      </c>
      <c r="B410" s="23"/>
      <c r="C410" s="10"/>
      <c r="D410" s="10"/>
      <c r="E410" s="10"/>
      <c r="F410" s="25"/>
      <c r="G410" s="10"/>
      <c r="H410" s="25"/>
      <c r="I410" s="12" t="str">
        <f aca="false">IF(F410="","",F410+H410)</f>
        <v/>
      </c>
      <c r="J410" s="10"/>
      <c r="K410" s="10"/>
      <c r="L410" s="10" t="str">
        <f aca="false">IF(B410="","",TEXT(B410,"YYYY-MM"))</f>
        <v/>
      </c>
      <c r="M410" s="10" t="str">
        <f aca="false">IF($E410="","",IFERROR(VLOOKUP($E410,Categories!$A:$B,2,FALSE()),""))</f>
        <v/>
      </c>
    </row>
    <row r="411" customFormat="false" ht="15" hidden="false" customHeight="false" outlineLevel="0" collapsed="false">
      <c r="A411" s="10" t="str">
        <f aca="false">IF(B411="","","T"&amp;TEXT(ROW()-4,"0000"))</f>
        <v/>
      </c>
      <c r="B411" s="23"/>
      <c r="C411" s="10"/>
      <c r="D411" s="10"/>
      <c r="E411" s="10"/>
      <c r="F411" s="25"/>
      <c r="G411" s="10"/>
      <c r="H411" s="25"/>
      <c r="I411" s="12" t="str">
        <f aca="false">IF(F411="","",F411+H411)</f>
        <v/>
      </c>
      <c r="J411" s="10"/>
      <c r="K411" s="10"/>
      <c r="L411" s="10" t="str">
        <f aca="false">IF(B411="","",TEXT(B411,"YYYY-MM"))</f>
        <v/>
      </c>
      <c r="M411" s="10" t="str">
        <f aca="false">IF($E411="","",IFERROR(VLOOKUP($E411,Categories!$A:$B,2,FALSE()),""))</f>
        <v/>
      </c>
    </row>
    <row r="412" customFormat="false" ht="15" hidden="false" customHeight="false" outlineLevel="0" collapsed="false">
      <c r="A412" s="10" t="str">
        <f aca="false">IF(B412="","","T"&amp;TEXT(ROW()-4,"0000"))</f>
        <v/>
      </c>
      <c r="B412" s="23"/>
      <c r="C412" s="10"/>
      <c r="D412" s="10"/>
      <c r="E412" s="10"/>
      <c r="F412" s="25"/>
      <c r="G412" s="10"/>
      <c r="H412" s="25"/>
      <c r="I412" s="12" t="str">
        <f aca="false">IF(F412="","",F412+H412)</f>
        <v/>
      </c>
      <c r="J412" s="10"/>
      <c r="K412" s="10"/>
      <c r="L412" s="10" t="str">
        <f aca="false">IF(B412="","",TEXT(B412,"YYYY-MM"))</f>
        <v/>
      </c>
      <c r="M412" s="10" t="str">
        <f aca="false">IF($E412="","",IFERROR(VLOOKUP($E412,Categories!$A:$B,2,FALSE()),""))</f>
        <v/>
      </c>
    </row>
    <row r="413" customFormat="false" ht="15" hidden="false" customHeight="false" outlineLevel="0" collapsed="false">
      <c r="A413" s="10" t="str">
        <f aca="false">IF(B413="","","T"&amp;TEXT(ROW()-4,"0000"))</f>
        <v/>
      </c>
      <c r="B413" s="23"/>
      <c r="C413" s="10"/>
      <c r="D413" s="10"/>
      <c r="E413" s="10"/>
      <c r="F413" s="25"/>
      <c r="G413" s="10"/>
      <c r="H413" s="25"/>
      <c r="I413" s="12" t="str">
        <f aca="false">IF(F413="","",F413+H413)</f>
        <v/>
      </c>
      <c r="J413" s="10"/>
      <c r="K413" s="10"/>
      <c r="L413" s="10" t="str">
        <f aca="false">IF(B413="","",TEXT(B413,"YYYY-MM"))</f>
        <v/>
      </c>
      <c r="M413" s="10" t="str">
        <f aca="false">IF($E413="","",IFERROR(VLOOKUP($E413,Categories!$A:$B,2,FALSE()),""))</f>
        <v/>
      </c>
    </row>
    <row r="414" customFormat="false" ht="15" hidden="false" customHeight="false" outlineLevel="0" collapsed="false">
      <c r="A414" s="10" t="str">
        <f aca="false">IF(B414="","","T"&amp;TEXT(ROW()-4,"0000"))</f>
        <v/>
      </c>
      <c r="B414" s="23"/>
      <c r="C414" s="10"/>
      <c r="D414" s="10"/>
      <c r="E414" s="10"/>
      <c r="F414" s="25"/>
      <c r="G414" s="10"/>
      <c r="H414" s="25"/>
      <c r="I414" s="12" t="str">
        <f aca="false">IF(F414="","",F414+H414)</f>
        <v/>
      </c>
      <c r="J414" s="10"/>
      <c r="K414" s="10"/>
      <c r="L414" s="10" t="str">
        <f aca="false">IF(B414="","",TEXT(B414,"YYYY-MM"))</f>
        <v/>
      </c>
      <c r="M414" s="10" t="str">
        <f aca="false">IF($E414="","",IFERROR(VLOOKUP($E414,Categories!$A:$B,2,FALSE()),""))</f>
        <v/>
      </c>
    </row>
    <row r="415" customFormat="false" ht="15" hidden="false" customHeight="false" outlineLevel="0" collapsed="false">
      <c r="A415" s="10" t="str">
        <f aca="false">IF(B415="","","T"&amp;TEXT(ROW()-4,"0000"))</f>
        <v/>
      </c>
      <c r="B415" s="23"/>
      <c r="C415" s="10"/>
      <c r="D415" s="10"/>
      <c r="E415" s="10"/>
      <c r="F415" s="25"/>
      <c r="G415" s="10"/>
      <c r="H415" s="25"/>
      <c r="I415" s="12" t="str">
        <f aca="false">IF(F415="","",F415+H415)</f>
        <v/>
      </c>
      <c r="J415" s="10"/>
      <c r="K415" s="10"/>
      <c r="L415" s="10" t="str">
        <f aca="false">IF(B415="","",TEXT(B415,"YYYY-MM"))</f>
        <v/>
      </c>
      <c r="M415" s="10" t="str">
        <f aca="false">IF($E415="","",IFERROR(VLOOKUP($E415,Categories!$A:$B,2,FALSE()),""))</f>
        <v/>
      </c>
    </row>
    <row r="416" customFormat="false" ht="15" hidden="false" customHeight="false" outlineLevel="0" collapsed="false">
      <c r="A416" s="10" t="str">
        <f aca="false">IF(B416="","","T"&amp;TEXT(ROW()-4,"0000"))</f>
        <v/>
      </c>
      <c r="B416" s="23"/>
      <c r="C416" s="10"/>
      <c r="D416" s="10"/>
      <c r="E416" s="10"/>
      <c r="F416" s="25"/>
      <c r="G416" s="10"/>
      <c r="H416" s="25"/>
      <c r="I416" s="12" t="str">
        <f aca="false">IF(F416="","",F416+H416)</f>
        <v/>
      </c>
      <c r="J416" s="10"/>
      <c r="K416" s="10"/>
      <c r="L416" s="10" t="str">
        <f aca="false">IF(B416="","",TEXT(B416,"YYYY-MM"))</f>
        <v/>
      </c>
      <c r="M416" s="10" t="str">
        <f aca="false">IF($E416="","",IFERROR(VLOOKUP($E416,Categories!$A:$B,2,FALSE()),""))</f>
        <v/>
      </c>
    </row>
    <row r="417" customFormat="false" ht="15" hidden="false" customHeight="false" outlineLevel="0" collapsed="false">
      <c r="A417" s="10" t="str">
        <f aca="false">IF(B417="","","T"&amp;TEXT(ROW()-4,"0000"))</f>
        <v/>
      </c>
      <c r="B417" s="23"/>
      <c r="C417" s="10"/>
      <c r="D417" s="10"/>
      <c r="E417" s="10"/>
      <c r="F417" s="25"/>
      <c r="G417" s="10"/>
      <c r="H417" s="25"/>
      <c r="I417" s="12" t="str">
        <f aca="false">IF(F417="","",F417+H417)</f>
        <v/>
      </c>
      <c r="J417" s="10"/>
      <c r="K417" s="10"/>
      <c r="L417" s="10" t="str">
        <f aca="false">IF(B417="","",TEXT(B417,"YYYY-MM"))</f>
        <v/>
      </c>
      <c r="M417" s="10" t="str">
        <f aca="false">IF($E417="","",IFERROR(VLOOKUP($E417,Categories!$A:$B,2,FALSE()),""))</f>
        <v/>
      </c>
    </row>
    <row r="418" customFormat="false" ht="15" hidden="false" customHeight="false" outlineLevel="0" collapsed="false">
      <c r="A418" s="10" t="str">
        <f aca="false">IF(B418="","","T"&amp;TEXT(ROW()-4,"0000"))</f>
        <v/>
      </c>
      <c r="B418" s="23"/>
      <c r="C418" s="10"/>
      <c r="D418" s="10"/>
      <c r="E418" s="10"/>
      <c r="F418" s="25"/>
      <c r="G418" s="10"/>
      <c r="H418" s="25"/>
      <c r="I418" s="12" t="str">
        <f aca="false">IF(F418="","",F418+H418)</f>
        <v/>
      </c>
      <c r="J418" s="10"/>
      <c r="K418" s="10"/>
      <c r="L418" s="10" t="str">
        <f aca="false">IF(B418="","",TEXT(B418,"YYYY-MM"))</f>
        <v/>
      </c>
      <c r="M418" s="10" t="str">
        <f aca="false">IF($E418="","",IFERROR(VLOOKUP($E418,Categories!$A:$B,2,FALSE()),""))</f>
        <v/>
      </c>
    </row>
    <row r="419" customFormat="false" ht="15" hidden="false" customHeight="false" outlineLevel="0" collapsed="false">
      <c r="A419" s="10" t="str">
        <f aca="false">IF(B419="","","T"&amp;TEXT(ROW()-4,"0000"))</f>
        <v/>
      </c>
      <c r="B419" s="23"/>
      <c r="C419" s="10"/>
      <c r="D419" s="10"/>
      <c r="E419" s="10"/>
      <c r="F419" s="25"/>
      <c r="G419" s="10"/>
      <c r="H419" s="25"/>
      <c r="I419" s="12" t="str">
        <f aca="false">IF(F419="","",F419+H419)</f>
        <v/>
      </c>
      <c r="J419" s="10"/>
      <c r="K419" s="10"/>
      <c r="L419" s="10" t="str">
        <f aca="false">IF(B419="","",TEXT(B419,"YYYY-MM"))</f>
        <v/>
      </c>
      <c r="M419" s="10" t="str">
        <f aca="false">IF($E419="","",IFERROR(VLOOKUP($E419,Categories!$A:$B,2,FALSE()),""))</f>
        <v/>
      </c>
    </row>
    <row r="420" customFormat="false" ht="15" hidden="false" customHeight="false" outlineLevel="0" collapsed="false">
      <c r="A420" s="10" t="str">
        <f aca="false">IF(B420="","","T"&amp;TEXT(ROW()-4,"0000"))</f>
        <v/>
      </c>
      <c r="B420" s="23"/>
      <c r="C420" s="10"/>
      <c r="D420" s="10"/>
      <c r="E420" s="10"/>
      <c r="F420" s="25"/>
      <c r="G420" s="10"/>
      <c r="H420" s="25"/>
      <c r="I420" s="12" t="str">
        <f aca="false">IF(F420="","",F420+H420)</f>
        <v/>
      </c>
      <c r="J420" s="10"/>
      <c r="K420" s="10"/>
      <c r="L420" s="10" t="str">
        <f aca="false">IF(B420="","",TEXT(B420,"YYYY-MM"))</f>
        <v/>
      </c>
      <c r="M420" s="10" t="str">
        <f aca="false">IF($E420="","",IFERROR(VLOOKUP($E420,Categories!$A:$B,2,FALSE()),""))</f>
        <v/>
      </c>
    </row>
    <row r="421" customFormat="false" ht="15" hidden="false" customHeight="false" outlineLevel="0" collapsed="false">
      <c r="A421" s="10" t="str">
        <f aca="false">IF(B421="","","T"&amp;TEXT(ROW()-4,"0000"))</f>
        <v/>
      </c>
      <c r="B421" s="23"/>
      <c r="C421" s="10"/>
      <c r="D421" s="10"/>
      <c r="E421" s="10"/>
      <c r="F421" s="25"/>
      <c r="G421" s="10"/>
      <c r="H421" s="25"/>
      <c r="I421" s="12" t="str">
        <f aca="false">IF(F421="","",F421+H421)</f>
        <v/>
      </c>
      <c r="J421" s="10"/>
      <c r="K421" s="10"/>
      <c r="L421" s="10" t="str">
        <f aca="false">IF(B421="","",TEXT(B421,"YYYY-MM"))</f>
        <v/>
      </c>
      <c r="M421" s="10" t="str">
        <f aca="false">IF($E421="","",IFERROR(VLOOKUP($E421,Categories!$A:$B,2,FALSE()),""))</f>
        <v/>
      </c>
    </row>
    <row r="422" customFormat="false" ht="15" hidden="false" customHeight="false" outlineLevel="0" collapsed="false">
      <c r="A422" s="10" t="str">
        <f aca="false">IF(B422="","","T"&amp;TEXT(ROW()-4,"0000"))</f>
        <v/>
      </c>
      <c r="B422" s="23"/>
      <c r="C422" s="10"/>
      <c r="D422" s="10"/>
      <c r="E422" s="10"/>
      <c r="F422" s="25"/>
      <c r="G422" s="10"/>
      <c r="H422" s="25"/>
      <c r="I422" s="12" t="str">
        <f aca="false">IF(F422="","",F422+H422)</f>
        <v/>
      </c>
      <c r="J422" s="10"/>
      <c r="K422" s="10"/>
      <c r="L422" s="10" t="str">
        <f aca="false">IF(B422="","",TEXT(B422,"YYYY-MM"))</f>
        <v/>
      </c>
      <c r="M422" s="10" t="str">
        <f aca="false">IF($E422="","",IFERROR(VLOOKUP($E422,Categories!$A:$B,2,FALSE()),""))</f>
        <v/>
      </c>
    </row>
    <row r="423" customFormat="false" ht="15" hidden="false" customHeight="false" outlineLevel="0" collapsed="false">
      <c r="A423" s="10" t="str">
        <f aca="false">IF(B423="","","T"&amp;TEXT(ROW()-4,"0000"))</f>
        <v/>
      </c>
      <c r="B423" s="23"/>
      <c r="C423" s="10"/>
      <c r="D423" s="10"/>
      <c r="E423" s="10"/>
      <c r="F423" s="25"/>
      <c r="G423" s="10"/>
      <c r="H423" s="25"/>
      <c r="I423" s="12" t="str">
        <f aca="false">IF(F423="","",F423+H423)</f>
        <v/>
      </c>
      <c r="J423" s="10"/>
      <c r="K423" s="10"/>
      <c r="L423" s="10" t="str">
        <f aca="false">IF(B423="","",TEXT(B423,"YYYY-MM"))</f>
        <v/>
      </c>
      <c r="M423" s="10" t="str">
        <f aca="false">IF($E423="","",IFERROR(VLOOKUP($E423,Categories!$A:$B,2,FALSE()),""))</f>
        <v/>
      </c>
    </row>
    <row r="424" customFormat="false" ht="15" hidden="false" customHeight="false" outlineLevel="0" collapsed="false">
      <c r="A424" s="10" t="str">
        <f aca="false">IF(B424="","","T"&amp;TEXT(ROW()-4,"0000"))</f>
        <v/>
      </c>
      <c r="B424" s="23"/>
      <c r="C424" s="10"/>
      <c r="D424" s="10"/>
      <c r="E424" s="10"/>
      <c r="F424" s="25"/>
      <c r="G424" s="10"/>
      <c r="H424" s="25"/>
      <c r="I424" s="12" t="str">
        <f aca="false">IF(F424="","",F424+H424)</f>
        <v/>
      </c>
      <c r="J424" s="10"/>
      <c r="K424" s="10"/>
      <c r="L424" s="10" t="str">
        <f aca="false">IF(B424="","",TEXT(B424,"YYYY-MM"))</f>
        <v/>
      </c>
      <c r="M424" s="10" t="str">
        <f aca="false">IF($E424="","",IFERROR(VLOOKUP($E424,Categories!$A:$B,2,FALSE()),""))</f>
        <v/>
      </c>
    </row>
    <row r="425" customFormat="false" ht="15" hidden="false" customHeight="false" outlineLevel="0" collapsed="false">
      <c r="A425" s="10" t="str">
        <f aca="false">IF(B425="","","T"&amp;TEXT(ROW()-4,"0000"))</f>
        <v/>
      </c>
      <c r="B425" s="23"/>
      <c r="C425" s="10"/>
      <c r="D425" s="10"/>
      <c r="E425" s="10"/>
      <c r="F425" s="25"/>
      <c r="G425" s="10"/>
      <c r="H425" s="25"/>
      <c r="I425" s="12" t="str">
        <f aca="false">IF(F425="","",F425+H425)</f>
        <v/>
      </c>
      <c r="J425" s="10"/>
      <c r="K425" s="10"/>
      <c r="L425" s="10" t="str">
        <f aca="false">IF(B425="","",TEXT(B425,"YYYY-MM"))</f>
        <v/>
      </c>
      <c r="M425" s="10" t="str">
        <f aca="false">IF($E425="","",IFERROR(VLOOKUP($E425,Categories!$A:$B,2,FALSE()),""))</f>
        <v/>
      </c>
    </row>
    <row r="426" customFormat="false" ht="15" hidden="false" customHeight="false" outlineLevel="0" collapsed="false">
      <c r="A426" s="10" t="str">
        <f aca="false">IF(B426="","","T"&amp;TEXT(ROW()-4,"0000"))</f>
        <v/>
      </c>
      <c r="B426" s="23"/>
      <c r="C426" s="10"/>
      <c r="D426" s="10"/>
      <c r="E426" s="10"/>
      <c r="F426" s="25"/>
      <c r="G426" s="10"/>
      <c r="H426" s="25"/>
      <c r="I426" s="12" t="str">
        <f aca="false">IF(F426="","",F426+H426)</f>
        <v/>
      </c>
      <c r="J426" s="10"/>
      <c r="K426" s="10"/>
      <c r="L426" s="10" t="str">
        <f aca="false">IF(B426="","",TEXT(B426,"YYYY-MM"))</f>
        <v/>
      </c>
      <c r="M426" s="10" t="str">
        <f aca="false">IF($E426="","",IFERROR(VLOOKUP($E426,Categories!$A:$B,2,FALSE()),""))</f>
        <v/>
      </c>
    </row>
    <row r="427" customFormat="false" ht="15" hidden="false" customHeight="false" outlineLevel="0" collapsed="false">
      <c r="A427" s="10" t="str">
        <f aca="false">IF(B427="","","T"&amp;TEXT(ROW()-4,"0000"))</f>
        <v/>
      </c>
      <c r="B427" s="23"/>
      <c r="C427" s="10"/>
      <c r="D427" s="10"/>
      <c r="E427" s="10"/>
      <c r="F427" s="25"/>
      <c r="G427" s="10"/>
      <c r="H427" s="25"/>
      <c r="I427" s="12" t="str">
        <f aca="false">IF(F427="","",F427+H427)</f>
        <v/>
      </c>
      <c r="J427" s="10"/>
      <c r="K427" s="10"/>
      <c r="L427" s="10" t="str">
        <f aca="false">IF(B427="","",TEXT(B427,"YYYY-MM"))</f>
        <v/>
      </c>
      <c r="M427" s="10" t="str">
        <f aca="false">IF($E427="","",IFERROR(VLOOKUP($E427,Categories!$A:$B,2,FALSE()),""))</f>
        <v/>
      </c>
    </row>
    <row r="428" customFormat="false" ht="15" hidden="false" customHeight="false" outlineLevel="0" collapsed="false">
      <c r="A428" s="10" t="str">
        <f aca="false">IF(B428="","","T"&amp;TEXT(ROW()-4,"0000"))</f>
        <v/>
      </c>
      <c r="B428" s="23"/>
      <c r="C428" s="10"/>
      <c r="D428" s="10"/>
      <c r="E428" s="10"/>
      <c r="F428" s="25"/>
      <c r="G428" s="10"/>
      <c r="H428" s="25"/>
      <c r="I428" s="12" t="str">
        <f aca="false">IF(F428="","",F428+H428)</f>
        <v/>
      </c>
      <c r="J428" s="10"/>
      <c r="K428" s="10"/>
      <c r="L428" s="10" t="str">
        <f aca="false">IF(B428="","",TEXT(B428,"YYYY-MM"))</f>
        <v/>
      </c>
      <c r="M428" s="10" t="str">
        <f aca="false">IF($E428="","",IFERROR(VLOOKUP($E428,Categories!$A:$B,2,FALSE()),""))</f>
        <v/>
      </c>
    </row>
    <row r="429" customFormat="false" ht="15" hidden="false" customHeight="false" outlineLevel="0" collapsed="false">
      <c r="A429" s="10" t="str">
        <f aca="false">IF(B429="","","T"&amp;TEXT(ROW()-4,"0000"))</f>
        <v/>
      </c>
      <c r="B429" s="23"/>
      <c r="C429" s="10"/>
      <c r="D429" s="10"/>
      <c r="E429" s="10"/>
      <c r="F429" s="25"/>
      <c r="G429" s="10"/>
      <c r="H429" s="25"/>
      <c r="I429" s="12" t="str">
        <f aca="false">IF(F429="","",F429+H429)</f>
        <v/>
      </c>
      <c r="J429" s="10"/>
      <c r="K429" s="10"/>
      <c r="L429" s="10" t="str">
        <f aca="false">IF(B429="","",TEXT(B429,"YYYY-MM"))</f>
        <v/>
      </c>
      <c r="M429" s="10" t="str">
        <f aca="false">IF($E429="","",IFERROR(VLOOKUP($E429,Categories!$A:$B,2,FALSE()),""))</f>
        <v/>
      </c>
    </row>
    <row r="430" customFormat="false" ht="15" hidden="false" customHeight="false" outlineLevel="0" collapsed="false">
      <c r="A430" s="10" t="str">
        <f aca="false">IF(B430="","","T"&amp;TEXT(ROW()-4,"0000"))</f>
        <v/>
      </c>
      <c r="B430" s="23"/>
      <c r="C430" s="10"/>
      <c r="D430" s="10"/>
      <c r="E430" s="10"/>
      <c r="F430" s="25"/>
      <c r="G430" s="10"/>
      <c r="H430" s="25"/>
      <c r="I430" s="12" t="str">
        <f aca="false">IF(F430="","",F430+H430)</f>
        <v/>
      </c>
      <c r="J430" s="10"/>
      <c r="K430" s="10"/>
      <c r="L430" s="10" t="str">
        <f aca="false">IF(B430="","",TEXT(B430,"YYYY-MM"))</f>
        <v/>
      </c>
      <c r="M430" s="10" t="str">
        <f aca="false">IF($E430="","",IFERROR(VLOOKUP($E430,Categories!$A:$B,2,FALSE()),""))</f>
        <v/>
      </c>
    </row>
    <row r="431" customFormat="false" ht="15" hidden="false" customHeight="false" outlineLevel="0" collapsed="false">
      <c r="A431" s="10" t="str">
        <f aca="false">IF(B431="","","T"&amp;TEXT(ROW()-4,"0000"))</f>
        <v/>
      </c>
      <c r="B431" s="23"/>
      <c r="C431" s="10"/>
      <c r="D431" s="10"/>
      <c r="E431" s="10"/>
      <c r="F431" s="25"/>
      <c r="G431" s="10"/>
      <c r="H431" s="25"/>
      <c r="I431" s="12" t="str">
        <f aca="false">IF(F431="","",F431+H431)</f>
        <v/>
      </c>
      <c r="J431" s="10"/>
      <c r="K431" s="10"/>
      <c r="L431" s="10" t="str">
        <f aca="false">IF(B431="","",TEXT(B431,"YYYY-MM"))</f>
        <v/>
      </c>
      <c r="M431" s="10" t="str">
        <f aca="false">IF($E431="","",IFERROR(VLOOKUP($E431,Categories!$A:$B,2,FALSE()),""))</f>
        <v/>
      </c>
    </row>
    <row r="432" customFormat="false" ht="15" hidden="false" customHeight="false" outlineLevel="0" collapsed="false">
      <c r="A432" s="10" t="str">
        <f aca="false">IF(B432="","","T"&amp;TEXT(ROW()-4,"0000"))</f>
        <v/>
      </c>
      <c r="B432" s="23"/>
      <c r="C432" s="10"/>
      <c r="D432" s="10"/>
      <c r="E432" s="10"/>
      <c r="F432" s="25"/>
      <c r="G432" s="10"/>
      <c r="H432" s="25"/>
      <c r="I432" s="12" t="str">
        <f aca="false">IF(F432="","",F432+H432)</f>
        <v/>
      </c>
      <c r="J432" s="10"/>
      <c r="K432" s="10"/>
      <c r="L432" s="10" t="str">
        <f aca="false">IF(B432="","",TEXT(B432,"YYYY-MM"))</f>
        <v/>
      </c>
      <c r="M432" s="10" t="str">
        <f aca="false">IF($E432="","",IFERROR(VLOOKUP($E432,Categories!$A:$B,2,FALSE()),""))</f>
        <v/>
      </c>
    </row>
    <row r="433" customFormat="false" ht="15" hidden="false" customHeight="false" outlineLevel="0" collapsed="false">
      <c r="A433" s="10" t="str">
        <f aca="false">IF(B433="","","T"&amp;TEXT(ROW()-4,"0000"))</f>
        <v/>
      </c>
      <c r="B433" s="23"/>
      <c r="C433" s="10"/>
      <c r="D433" s="10"/>
      <c r="E433" s="10"/>
      <c r="F433" s="25"/>
      <c r="G433" s="10"/>
      <c r="H433" s="25"/>
      <c r="I433" s="12" t="str">
        <f aca="false">IF(F433="","",F433+H433)</f>
        <v/>
      </c>
      <c r="J433" s="10"/>
      <c r="K433" s="10"/>
      <c r="L433" s="10" t="str">
        <f aca="false">IF(B433="","",TEXT(B433,"YYYY-MM"))</f>
        <v/>
      </c>
      <c r="M433" s="10" t="str">
        <f aca="false">IF($E433="","",IFERROR(VLOOKUP($E433,Categories!$A:$B,2,FALSE()),""))</f>
        <v/>
      </c>
    </row>
    <row r="434" customFormat="false" ht="15" hidden="false" customHeight="false" outlineLevel="0" collapsed="false">
      <c r="A434" s="10" t="str">
        <f aca="false">IF(B434="","","T"&amp;TEXT(ROW()-4,"0000"))</f>
        <v/>
      </c>
      <c r="B434" s="23"/>
      <c r="C434" s="10"/>
      <c r="D434" s="10"/>
      <c r="E434" s="10"/>
      <c r="F434" s="25"/>
      <c r="G434" s="10"/>
      <c r="H434" s="25"/>
      <c r="I434" s="12" t="str">
        <f aca="false">IF(F434="","",F434+H434)</f>
        <v/>
      </c>
      <c r="J434" s="10"/>
      <c r="K434" s="10"/>
      <c r="L434" s="10" t="str">
        <f aca="false">IF(B434="","",TEXT(B434,"YYYY-MM"))</f>
        <v/>
      </c>
      <c r="M434" s="10" t="str">
        <f aca="false">IF($E434="","",IFERROR(VLOOKUP($E434,Categories!$A:$B,2,FALSE()),""))</f>
        <v/>
      </c>
    </row>
    <row r="435" customFormat="false" ht="15" hidden="false" customHeight="false" outlineLevel="0" collapsed="false">
      <c r="A435" s="10" t="str">
        <f aca="false">IF(B435="","","T"&amp;TEXT(ROW()-4,"0000"))</f>
        <v/>
      </c>
      <c r="B435" s="23"/>
      <c r="C435" s="10"/>
      <c r="D435" s="10"/>
      <c r="E435" s="10"/>
      <c r="F435" s="25"/>
      <c r="G435" s="10"/>
      <c r="H435" s="25"/>
      <c r="I435" s="12" t="str">
        <f aca="false">IF(F435="","",F435+H435)</f>
        <v/>
      </c>
      <c r="J435" s="10"/>
      <c r="K435" s="10"/>
      <c r="L435" s="10" t="str">
        <f aca="false">IF(B435="","",TEXT(B435,"YYYY-MM"))</f>
        <v/>
      </c>
      <c r="M435" s="10" t="str">
        <f aca="false">IF($E435="","",IFERROR(VLOOKUP($E435,Categories!$A:$B,2,FALSE()),""))</f>
        <v/>
      </c>
    </row>
    <row r="436" customFormat="false" ht="15" hidden="false" customHeight="false" outlineLevel="0" collapsed="false">
      <c r="A436" s="10" t="str">
        <f aca="false">IF(B436="","","T"&amp;TEXT(ROW()-4,"0000"))</f>
        <v/>
      </c>
      <c r="B436" s="23"/>
      <c r="C436" s="10"/>
      <c r="D436" s="10"/>
      <c r="E436" s="10"/>
      <c r="F436" s="25"/>
      <c r="G436" s="10"/>
      <c r="H436" s="25"/>
      <c r="I436" s="12" t="str">
        <f aca="false">IF(F436="","",F436+H436)</f>
        <v/>
      </c>
      <c r="J436" s="10"/>
      <c r="K436" s="10"/>
      <c r="L436" s="10" t="str">
        <f aca="false">IF(B436="","",TEXT(B436,"YYYY-MM"))</f>
        <v/>
      </c>
      <c r="M436" s="10" t="str">
        <f aca="false">IF($E436="","",IFERROR(VLOOKUP($E436,Categories!$A:$B,2,FALSE()),""))</f>
        <v/>
      </c>
    </row>
    <row r="437" customFormat="false" ht="15" hidden="false" customHeight="false" outlineLevel="0" collapsed="false">
      <c r="A437" s="10" t="str">
        <f aca="false">IF(B437="","","T"&amp;TEXT(ROW()-4,"0000"))</f>
        <v/>
      </c>
      <c r="B437" s="23"/>
      <c r="C437" s="10"/>
      <c r="D437" s="10"/>
      <c r="E437" s="10"/>
      <c r="F437" s="25"/>
      <c r="G437" s="10"/>
      <c r="H437" s="25"/>
      <c r="I437" s="12" t="str">
        <f aca="false">IF(F437="","",F437+H437)</f>
        <v/>
      </c>
      <c r="J437" s="10"/>
      <c r="K437" s="10"/>
      <c r="L437" s="10" t="str">
        <f aca="false">IF(B437="","",TEXT(B437,"YYYY-MM"))</f>
        <v/>
      </c>
      <c r="M437" s="10" t="str">
        <f aca="false">IF($E437="","",IFERROR(VLOOKUP($E437,Categories!$A:$B,2,FALSE()),""))</f>
        <v/>
      </c>
    </row>
    <row r="438" customFormat="false" ht="15" hidden="false" customHeight="false" outlineLevel="0" collapsed="false">
      <c r="A438" s="10" t="str">
        <f aca="false">IF(B438="","","T"&amp;TEXT(ROW()-4,"0000"))</f>
        <v/>
      </c>
      <c r="B438" s="23"/>
      <c r="C438" s="10"/>
      <c r="D438" s="10"/>
      <c r="E438" s="10"/>
      <c r="F438" s="25"/>
      <c r="G438" s="10"/>
      <c r="H438" s="25"/>
      <c r="I438" s="12" t="str">
        <f aca="false">IF(F438="","",F438+H438)</f>
        <v/>
      </c>
      <c r="J438" s="10"/>
      <c r="K438" s="10"/>
      <c r="L438" s="10" t="str">
        <f aca="false">IF(B438="","",TEXT(B438,"YYYY-MM"))</f>
        <v/>
      </c>
      <c r="M438" s="10" t="str">
        <f aca="false">IF($E438="","",IFERROR(VLOOKUP($E438,Categories!$A:$B,2,FALSE()),""))</f>
        <v/>
      </c>
    </row>
    <row r="439" customFormat="false" ht="15" hidden="false" customHeight="false" outlineLevel="0" collapsed="false">
      <c r="A439" s="10" t="str">
        <f aca="false">IF(B439="","","T"&amp;TEXT(ROW()-4,"0000"))</f>
        <v/>
      </c>
      <c r="B439" s="23"/>
      <c r="C439" s="10"/>
      <c r="D439" s="10"/>
      <c r="E439" s="10"/>
      <c r="F439" s="25"/>
      <c r="G439" s="10"/>
      <c r="H439" s="25"/>
      <c r="I439" s="12" t="str">
        <f aca="false">IF(F439="","",F439+H439)</f>
        <v/>
      </c>
      <c r="J439" s="10"/>
      <c r="K439" s="10"/>
      <c r="L439" s="10" t="str">
        <f aca="false">IF(B439="","",TEXT(B439,"YYYY-MM"))</f>
        <v/>
      </c>
      <c r="M439" s="10" t="str">
        <f aca="false">IF($E439="","",IFERROR(VLOOKUP($E439,Categories!$A:$B,2,FALSE()),""))</f>
        <v/>
      </c>
    </row>
    <row r="440" customFormat="false" ht="15" hidden="false" customHeight="false" outlineLevel="0" collapsed="false">
      <c r="A440" s="10" t="str">
        <f aca="false">IF(B440="","","T"&amp;TEXT(ROW()-4,"0000"))</f>
        <v/>
      </c>
      <c r="B440" s="23"/>
      <c r="C440" s="10"/>
      <c r="D440" s="10"/>
      <c r="E440" s="10"/>
      <c r="F440" s="25"/>
      <c r="G440" s="10"/>
      <c r="H440" s="25"/>
      <c r="I440" s="12" t="str">
        <f aca="false">IF(F440="","",F440+H440)</f>
        <v/>
      </c>
      <c r="J440" s="10"/>
      <c r="K440" s="10"/>
      <c r="L440" s="10" t="str">
        <f aca="false">IF(B440="","",TEXT(B440,"YYYY-MM"))</f>
        <v/>
      </c>
      <c r="M440" s="10" t="str">
        <f aca="false">IF($E440="","",IFERROR(VLOOKUP($E440,Categories!$A:$B,2,FALSE()),""))</f>
        <v/>
      </c>
    </row>
    <row r="441" customFormat="false" ht="15" hidden="false" customHeight="false" outlineLevel="0" collapsed="false">
      <c r="A441" s="10" t="str">
        <f aca="false">IF(B441="","","T"&amp;TEXT(ROW()-4,"0000"))</f>
        <v/>
      </c>
      <c r="B441" s="23"/>
      <c r="C441" s="10"/>
      <c r="D441" s="10"/>
      <c r="E441" s="10"/>
      <c r="F441" s="25"/>
      <c r="G441" s="10"/>
      <c r="H441" s="25"/>
      <c r="I441" s="12" t="str">
        <f aca="false">IF(F441="","",F441+H441)</f>
        <v/>
      </c>
      <c r="J441" s="10"/>
      <c r="K441" s="10"/>
      <c r="L441" s="10" t="str">
        <f aca="false">IF(B441="","",TEXT(B441,"YYYY-MM"))</f>
        <v/>
      </c>
      <c r="M441" s="10" t="str">
        <f aca="false">IF($E441="","",IFERROR(VLOOKUP($E441,Categories!$A:$B,2,FALSE()),""))</f>
        <v/>
      </c>
    </row>
    <row r="442" customFormat="false" ht="15" hidden="false" customHeight="false" outlineLevel="0" collapsed="false">
      <c r="A442" s="10" t="str">
        <f aca="false">IF(B442="","","T"&amp;TEXT(ROW()-4,"0000"))</f>
        <v/>
      </c>
      <c r="B442" s="23"/>
      <c r="C442" s="10"/>
      <c r="D442" s="10"/>
      <c r="E442" s="10"/>
      <c r="F442" s="25"/>
      <c r="G442" s="10"/>
      <c r="H442" s="25"/>
      <c r="I442" s="12" t="str">
        <f aca="false">IF(F442="","",F442+H442)</f>
        <v/>
      </c>
      <c r="J442" s="10"/>
      <c r="K442" s="10"/>
      <c r="L442" s="10" t="str">
        <f aca="false">IF(B442="","",TEXT(B442,"YYYY-MM"))</f>
        <v/>
      </c>
      <c r="M442" s="10" t="str">
        <f aca="false">IF($E442="","",IFERROR(VLOOKUP($E442,Categories!$A:$B,2,FALSE()),""))</f>
        <v/>
      </c>
    </row>
    <row r="443" customFormat="false" ht="15" hidden="false" customHeight="false" outlineLevel="0" collapsed="false">
      <c r="A443" s="10" t="str">
        <f aca="false">IF(B443="","","T"&amp;TEXT(ROW()-4,"0000"))</f>
        <v/>
      </c>
      <c r="B443" s="23"/>
      <c r="C443" s="10"/>
      <c r="D443" s="10"/>
      <c r="E443" s="10"/>
      <c r="F443" s="25"/>
      <c r="G443" s="10"/>
      <c r="H443" s="25"/>
      <c r="I443" s="12" t="str">
        <f aca="false">IF(F443="","",F443+H443)</f>
        <v/>
      </c>
      <c r="J443" s="10"/>
      <c r="K443" s="10"/>
      <c r="L443" s="10" t="str">
        <f aca="false">IF(B443="","",TEXT(B443,"YYYY-MM"))</f>
        <v/>
      </c>
      <c r="M443" s="10" t="str">
        <f aca="false">IF($E443="","",IFERROR(VLOOKUP($E443,Categories!$A:$B,2,FALSE()),""))</f>
        <v/>
      </c>
    </row>
    <row r="444" customFormat="false" ht="15" hidden="false" customHeight="false" outlineLevel="0" collapsed="false">
      <c r="A444" s="10" t="str">
        <f aca="false">IF(B444="","","T"&amp;TEXT(ROW()-4,"0000"))</f>
        <v/>
      </c>
      <c r="B444" s="23"/>
      <c r="C444" s="10"/>
      <c r="D444" s="10"/>
      <c r="E444" s="10"/>
      <c r="F444" s="25"/>
      <c r="G444" s="10"/>
      <c r="H444" s="25"/>
      <c r="I444" s="12" t="str">
        <f aca="false">IF(F444="","",F444+H444)</f>
        <v/>
      </c>
      <c r="J444" s="10"/>
      <c r="K444" s="10"/>
      <c r="L444" s="10" t="str">
        <f aca="false">IF(B444="","",TEXT(B444,"YYYY-MM"))</f>
        <v/>
      </c>
      <c r="M444" s="10" t="str">
        <f aca="false">IF($E444="","",IFERROR(VLOOKUP($E444,Categories!$A:$B,2,FALSE()),""))</f>
        <v/>
      </c>
    </row>
    <row r="445" customFormat="false" ht="15" hidden="false" customHeight="false" outlineLevel="0" collapsed="false">
      <c r="A445" s="10" t="str">
        <f aca="false">IF(B445="","","T"&amp;TEXT(ROW()-4,"0000"))</f>
        <v/>
      </c>
      <c r="B445" s="23"/>
      <c r="C445" s="10"/>
      <c r="D445" s="10"/>
      <c r="E445" s="10"/>
      <c r="F445" s="25"/>
      <c r="G445" s="10"/>
      <c r="H445" s="25"/>
      <c r="I445" s="12" t="str">
        <f aca="false">IF(F445="","",F445+H445)</f>
        <v/>
      </c>
      <c r="J445" s="10"/>
      <c r="K445" s="10"/>
      <c r="L445" s="10" t="str">
        <f aca="false">IF(B445="","",TEXT(B445,"YYYY-MM"))</f>
        <v/>
      </c>
      <c r="M445" s="10" t="str">
        <f aca="false">IF($E445="","",IFERROR(VLOOKUP($E445,Categories!$A:$B,2,FALSE()),""))</f>
        <v/>
      </c>
    </row>
    <row r="446" customFormat="false" ht="15" hidden="false" customHeight="false" outlineLevel="0" collapsed="false">
      <c r="A446" s="10" t="str">
        <f aca="false">IF(B446="","","T"&amp;TEXT(ROW()-4,"0000"))</f>
        <v/>
      </c>
      <c r="B446" s="23"/>
      <c r="C446" s="10"/>
      <c r="D446" s="10"/>
      <c r="E446" s="10"/>
      <c r="F446" s="25"/>
      <c r="G446" s="10"/>
      <c r="H446" s="25"/>
      <c r="I446" s="12" t="str">
        <f aca="false">IF(F446="","",F446+H446)</f>
        <v/>
      </c>
      <c r="J446" s="10"/>
      <c r="K446" s="10"/>
      <c r="L446" s="10" t="str">
        <f aca="false">IF(B446="","",TEXT(B446,"YYYY-MM"))</f>
        <v/>
      </c>
      <c r="M446" s="10" t="str">
        <f aca="false">IF($E446="","",IFERROR(VLOOKUP($E446,Categories!$A:$B,2,FALSE()),""))</f>
        <v/>
      </c>
    </row>
    <row r="447" customFormat="false" ht="15" hidden="false" customHeight="false" outlineLevel="0" collapsed="false">
      <c r="A447" s="10" t="str">
        <f aca="false">IF(B447="","","T"&amp;TEXT(ROW()-4,"0000"))</f>
        <v/>
      </c>
      <c r="B447" s="23"/>
      <c r="C447" s="10"/>
      <c r="D447" s="10"/>
      <c r="E447" s="10"/>
      <c r="F447" s="25"/>
      <c r="G447" s="10"/>
      <c r="H447" s="25"/>
      <c r="I447" s="12" t="str">
        <f aca="false">IF(F447="","",F447+H447)</f>
        <v/>
      </c>
      <c r="J447" s="10"/>
      <c r="K447" s="10"/>
      <c r="L447" s="10" t="str">
        <f aca="false">IF(B447="","",TEXT(B447,"YYYY-MM"))</f>
        <v/>
      </c>
      <c r="M447" s="10" t="str">
        <f aca="false">IF($E447="","",IFERROR(VLOOKUP($E447,Categories!$A:$B,2,FALSE()),""))</f>
        <v/>
      </c>
    </row>
    <row r="448" customFormat="false" ht="15" hidden="false" customHeight="false" outlineLevel="0" collapsed="false">
      <c r="A448" s="10" t="str">
        <f aca="false">IF(B448="","","T"&amp;TEXT(ROW()-4,"0000"))</f>
        <v/>
      </c>
      <c r="B448" s="23"/>
      <c r="C448" s="10"/>
      <c r="D448" s="10"/>
      <c r="E448" s="10"/>
      <c r="F448" s="25"/>
      <c r="G448" s="10"/>
      <c r="H448" s="25"/>
      <c r="I448" s="12" t="str">
        <f aca="false">IF(F448="","",F448+H448)</f>
        <v/>
      </c>
      <c r="J448" s="10"/>
      <c r="K448" s="10"/>
      <c r="L448" s="10" t="str">
        <f aca="false">IF(B448="","",TEXT(B448,"YYYY-MM"))</f>
        <v/>
      </c>
      <c r="M448" s="10" t="str">
        <f aca="false">IF($E448="","",IFERROR(VLOOKUP($E448,Categories!$A:$B,2,FALSE()),""))</f>
        <v/>
      </c>
    </row>
    <row r="449" customFormat="false" ht="15" hidden="false" customHeight="false" outlineLevel="0" collapsed="false">
      <c r="A449" s="10" t="str">
        <f aca="false">IF(B449="","","T"&amp;TEXT(ROW()-4,"0000"))</f>
        <v/>
      </c>
      <c r="B449" s="23"/>
      <c r="C449" s="10"/>
      <c r="D449" s="10"/>
      <c r="E449" s="10"/>
      <c r="F449" s="25"/>
      <c r="G449" s="10"/>
      <c r="H449" s="25"/>
      <c r="I449" s="12" t="str">
        <f aca="false">IF(F449="","",F449+H449)</f>
        <v/>
      </c>
      <c r="J449" s="10"/>
      <c r="K449" s="10"/>
      <c r="L449" s="10" t="str">
        <f aca="false">IF(B449="","",TEXT(B449,"YYYY-MM"))</f>
        <v/>
      </c>
      <c r="M449" s="10" t="str">
        <f aca="false">IF($E449="","",IFERROR(VLOOKUP($E449,Categories!$A:$B,2,FALSE()),""))</f>
        <v/>
      </c>
    </row>
    <row r="450" customFormat="false" ht="15" hidden="false" customHeight="false" outlineLevel="0" collapsed="false">
      <c r="A450" s="10" t="str">
        <f aca="false">IF(B450="","","T"&amp;TEXT(ROW()-4,"0000"))</f>
        <v/>
      </c>
      <c r="B450" s="23"/>
      <c r="C450" s="10"/>
      <c r="D450" s="10"/>
      <c r="E450" s="10"/>
      <c r="F450" s="25"/>
      <c r="G450" s="10"/>
      <c r="H450" s="25"/>
      <c r="I450" s="12" t="str">
        <f aca="false">IF(F450="","",F450+H450)</f>
        <v/>
      </c>
      <c r="J450" s="10"/>
      <c r="K450" s="10"/>
      <c r="L450" s="10" t="str">
        <f aca="false">IF(B450="","",TEXT(B450,"YYYY-MM"))</f>
        <v/>
      </c>
      <c r="M450" s="10" t="str">
        <f aca="false">IF($E450="","",IFERROR(VLOOKUP($E450,Categories!$A:$B,2,FALSE()),""))</f>
        <v/>
      </c>
    </row>
    <row r="451" customFormat="false" ht="15" hidden="false" customHeight="false" outlineLevel="0" collapsed="false">
      <c r="A451" s="10" t="str">
        <f aca="false">IF(B451="","","T"&amp;TEXT(ROW()-4,"0000"))</f>
        <v/>
      </c>
      <c r="B451" s="23"/>
      <c r="C451" s="10"/>
      <c r="D451" s="10"/>
      <c r="E451" s="10"/>
      <c r="F451" s="25"/>
      <c r="G451" s="10"/>
      <c r="H451" s="25"/>
      <c r="I451" s="12" t="str">
        <f aca="false">IF(F451="","",F451+H451)</f>
        <v/>
      </c>
      <c r="J451" s="10"/>
      <c r="K451" s="10"/>
      <c r="L451" s="10" t="str">
        <f aca="false">IF(B451="","",TEXT(B451,"YYYY-MM"))</f>
        <v/>
      </c>
      <c r="M451" s="10" t="str">
        <f aca="false">IF($E451="","",IFERROR(VLOOKUP($E451,Categories!$A:$B,2,FALSE()),""))</f>
        <v/>
      </c>
    </row>
    <row r="452" customFormat="false" ht="15" hidden="false" customHeight="false" outlineLevel="0" collapsed="false">
      <c r="A452" s="10" t="str">
        <f aca="false">IF(B452="","","T"&amp;TEXT(ROW()-4,"0000"))</f>
        <v/>
      </c>
      <c r="B452" s="23"/>
      <c r="C452" s="10"/>
      <c r="D452" s="10"/>
      <c r="E452" s="10"/>
      <c r="F452" s="25"/>
      <c r="G452" s="10"/>
      <c r="H452" s="25"/>
      <c r="I452" s="12" t="str">
        <f aca="false">IF(F452="","",F452+H452)</f>
        <v/>
      </c>
      <c r="J452" s="10"/>
      <c r="K452" s="10"/>
      <c r="L452" s="10" t="str">
        <f aca="false">IF(B452="","",TEXT(B452,"YYYY-MM"))</f>
        <v/>
      </c>
      <c r="M452" s="10" t="str">
        <f aca="false">IF($E452="","",IFERROR(VLOOKUP($E452,Categories!$A:$B,2,FALSE()),""))</f>
        <v/>
      </c>
    </row>
    <row r="453" customFormat="false" ht="15" hidden="false" customHeight="false" outlineLevel="0" collapsed="false">
      <c r="A453" s="10" t="str">
        <f aca="false">IF(B453="","","T"&amp;TEXT(ROW()-4,"0000"))</f>
        <v/>
      </c>
      <c r="B453" s="23"/>
      <c r="C453" s="10"/>
      <c r="D453" s="10"/>
      <c r="E453" s="10"/>
      <c r="F453" s="25"/>
      <c r="G453" s="10"/>
      <c r="H453" s="25"/>
      <c r="I453" s="12" t="str">
        <f aca="false">IF(F453="","",F453+H453)</f>
        <v/>
      </c>
      <c r="J453" s="10"/>
      <c r="K453" s="10"/>
      <c r="L453" s="10" t="str">
        <f aca="false">IF(B453="","",TEXT(B453,"YYYY-MM"))</f>
        <v/>
      </c>
      <c r="M453" s="10" t="str">
        <f aca="false">IF($E453="","",IFERROR(VLOOKUP($E453,Categories!$A:$B,2,FALSE()),""))</f>
        <v/>
      </c>
    </row>
    <row r="454" customFormat="false" ht="15" hidden="false" customHeight="false" outlineLevel="0" collapsed="false">
      <c r="A454" s="10" t="str">
        <f aca="false">IF(B454="","","T"&amp;TEXT(ROW()-4,"0000"))</f>
        <v/>
      </c>
      <c r="B454" s="23"/>
      <c r="C454" s="10"/>
      <c r="D454" s="10"/>
      <c r="E454" s="10"/>
      <c r="F454" s="25"/>
      <c r="G454" s="10"/>
      <c r="H454" s="25"/>
      <c r="I454" s="12" t="str">
        <f aca="false">IF(F454="","",F454+H454)</f>
        <v/>
      </c>
      <c r="J454" s="10"/>
      <c r="K454" s="10"/>
      <c r="L454" s="10" t="str">
        <f aca="false">IF(B454="","",TEXT(B454,"YYYY-MM"))</f>
        <v/>
      </c>
      <c r="M454" s="10" t="str">
        <f aca="false">IF($E454="","",IFERROR(VLOOKUP($E454,Categories!$A:$B,2,FALSE()),""))</f>
        <v/>
      </c>
    </row>
    <row r="455" customFormat="false" ht="15" hidden="false" customHeight="false" outlineLevel="0" collapsed="false">
      <c r="A455" s="10" t="str">
        <f aca="false">IF(B455="","","T"&amp;TEXT(ROW()-4,"0000"))</f>
        <v/>
      </c>
      <c r="B455" s="23"/>
      <c r="C455" s="10"/>
      <c r="D455" s="10"/>
      <c r="E455" s="10"/>
      <c r="F455" s="25"/>
      <c r="G455" s="10"/>
      <c r="H455" s="25"/>
      <c r="I455" s="12" t="str">
        <f aca="false">IF(F455="","",F455+H455)</f>
        <v/>
      </c>
      <c r="J455" s="10"/>
      <c r="K455" s="10"/>
      <c r="L455" s="10" t="str">
        <f aca="false">IF(B455="","",TEXT(B455,"YYYY-MM"))</f>
        <v/>
      </c>
      <c r="M455" s="10" t="str">
        <f aca="false">IF($E455="","",IFERROR(VLOOKUP($E455,Categories!$A:$B,2,FALSE()),""))</f>
        <v/>
      </c>
    </row>
    <row r="456" customFormat="false" ht="15" hidden="false" customHeight="false" outlineLevel="0" collapsed="false">
      <c r="A456" s="10" t="str">
        <f aca="false">IF(B456="","","T"&amp;TEXT(ROW()-4,"0000"))</f>
        <v/>
      </c>
      <c r="B456" s="23"/>
      <c r="C456" s="10"/>
      <c r="D456" s="10"/>
      <c r="E456" s="10"/>
      <c r="F456" s="25"/>
      <c r="G456" s="10"/>
      <c r="H456" s="25"/>
      <c r="I456" s="12" t="str">
        <f aca="false">IF(F456="","",F456+H456)</f>
        <v/>
      </c>
      <c r="J456" s="10"/>
      <c r="K456" s="10"/>
      <c r="L456" s="10" t="str">
        <f aca="false">IF(B456="","",TEXT(B456,"YYYY-MM"))</f>
        <v/>
      </c>
      <c r="M456" s="10" t="str">
        <f aca="false">IF($E456="","",IFERROR(VLOOKUP($E456,Categories!$A:$B,2,FALSE()),""))</f>
        <v/>
      </c>
    </row>
    <row r="457" customFormat="false" ht="15" hidden="false" customHeight="false" outlineLevel="0" collapsed="false">
      <c r="A457" s="10" t="str">
        <f aca="false">IF(B457="","","T"&amp;TEXT(ROW()-4,"0000"))</f>
        <v/>
      </c>
      <c r="B457" s="23"/>
      <c r="C457" s="10"/>
      <c r="D457" s="10"/>
      <c r="E457" s="10"/>
      <c r="F457" s="25"/>
      <c r="G457" s="10"/>
      <c r="H457" s="25"/>
      <c r="I457" s="12" t="str">
        <f aca="false">IF(F457="","",F457+H457)</f>
        <v/>
      </c>
      <c r="J457" s="10"/>
      <c r="K457" s="10"/>
      <c r="L457" s="10" t="str">
        <f aca="false">IF(B457="","",TEXT(B457,"YYYY-MM"))</f>
        <v/>
      </c>
      <c r="M457" s="10" t="str">
        <f aca="false">IF($E457="","",IFERROR(VLOOKUP($E457,Categories!$A:$B,2,FALSE()),""))</f>
        <v/>
      </c>
    </row>
    <row r="458" customFormat="false" ht="15" hidden="false" customHeight="false" outlineLevel="0" collapsed="false">
      <c r="A458" s="10" t="str">
        <f aca="false">IF(B458="","","T"&amp;TEXT(ROW()-4,"0000"))</f>
        <v/>
      </c>
      <c r="B458" s="23"/>
      <c r="C458" s="10"/>
      <c r="D458" s="10"/>
      <c r="E458" s="10"/>
      <c r="F458" s="25"/>
      <c r="G458" s="10"/>
      <c r="H458" s="25"/>
      <c r="I458" s="12" t="str">
        <f aca="false">IF(F458="","",F458+H458)</f>
        <v/>
      </c>
      <c r="J458" s="10"/>
      <c r="K458" s="10"/>
      <c r="L458" s="10" t="str">
        <f aca="false">IF(B458="","",TEXT(B458,"YYYY-MM"))</f>
        <v/>
      </c>
      <c r="M458" s="10" t="str">
        <f aca="false">IF($E458="","",IFERROR(VLOOKUP($E458,Categories!$A:$B,2,FALSE()),""))</f>
        <v/>
      </c>
    </row>
    <row r="459" customFormat="false" ht="15" hidden="false" customHeight="false" outlineLevel="0" collapsed="false">
      <c r="A459" s="10" t="str">
        <f aca="false">IF(B459="","","T"&amp;TEXT(ROW()-4,"0000"))</f>
        <v/>
      </c>
      <c r="B459" s="23"/>
      <c r="C459" s="10"/>
      <c r="D459" s="10"/>
      <c r="E459" s="10"/>
      <c r="F459" s="25"/>
      <c r="G459" s="10"/>
      <c r="H459" s="25"/>
      <c r="I459" s="12" t="str">
        <f aca="false">IF(F459="","",F459+H459)</f>
        <v/>
      </c>
      <c r="J459" s="10"/>
      <c r="K459" s="10"/>
      <c r="L459" s="10" t="str">
        <f aca="false">IF(B459="","",TEXT(B459,"YYYY-MM"))</f>
        <v/>
      </c>
      <c r="M459" s="10" t="str">
        <f aca="false">IF($E459="","",IFERROR(VLOOKUP($E459,Categories!$A:$B,2,FALSE()),""))</f>
        <v/>
      </c>
    </row>
    <row r="460" customFormat="false" ht="15" hidden="false" customHeight="false" outlineLevel="0" collapsed="false">
      <c r="A460" s="10" t="str">
        <f aca="false">IF(B460="","","T"&amp;TEXT(ROW()-4,"0000"))</f>
        <v/>
      </c>
      <c r="B460" s="23"/>
      <c r="C460" s="10"/>
      <c r="D460" s="10"/>
      <c r="E460" s="10"/>
      <c r="F460" s="25"/>
      <c r="G460" s="10"/>
      <c r="H460" s="25"/>
      <c r="I460" s="12" t="str">
        <f aca="false">IF(F460="","",F460+H460)</f>
        <v/>
      </c>
      <c r="J460" s="10"/>
      <c r="K460" s="10"/>
      <c r="L460" s="10" t="str">
        <f aca="false">IF(B460="","",TEXT(B460,"YYYY-MM"))</f>
        <v/>
      </c>
      <c r="M460" s="10" t="str">
        <f aca="false">IF($E460="","",IFERROR(VLOOKUP($E460,Categories!$A:$B,2,FALSE()),""))</f>
        <v/>
      </c>
    </row>
    <row r="461" customFormat="false" ht="15" hidden="false" customHeight="false" outlineLevel="0" collapsed="false">
      <c r="A461" s="10" t="str">
        <f aca="false">IF(B461="","","T"&amp;TEXT(ROW()-4,"0000"))</f>
        <v/>
      </c>
      <c r="B461" s="23"/>
      <c r="C461" s="10"/>
      <c r="D461" s="10"/>
      <c r="E461" s="10"/>
      <c r="F461" s="25"/>
      <c r="G461" s="10"/>
      <c r="H461" s="25"/>
      <c r="I461" s="12" t="str">
        <f aca="false">IF(F461="","",F461+H461)</f>
        <v/>
      </c>
      <c r="J461" s="10"/>
      <c r="K461" s="10"/>
      <c r="L461" s="10" t="str">
        <f aca="false">IF(B461="","",TEXT(B461,"YYYY-MM"))</f>
        <v/>
      </c>
      <c r="M461" s="10" t="str">
        <f aca="false">IF($E461="","",IFERROR(VLOOKUP($E461,Categories!$A:$B,2,FALSE()),""))</f>
        <v/>
      </c>
    </row>
    <row r="462" customFormat="false" ht="15" hidden="false" customHeight="false" outlineLevel="0" collapsed="false">
      <c r="A462" s="10" t="str">
        <f aca="false">IF(B462="","","T"&amp;TEXT(ROW()-4,"0000"))</f>
        <v/>
      </c>
      <c r="B462" s="23"/>
      <c r="C462" s="10"/>
      <c r="D462" s="10"/>
      <c r="E462" s="10"/>
      <c r="F462" s="25"/>
      <c r="G462" s="10"/>
      <c r="H462" s="25"/>
      <c r="I462" s="12" t="str">
        <f aca="false">IF(F462="","",F462+H462)</f>
        <v/>
      </c>
      <c r="J462" s="10"/>
      <c r="K462" s="10"/>
      <c r="L462" s="10" t="str">
        <f aca="false">IF(B462="","",TEXT(B462,"YYYY-MM"))</f>
        <v/>
      </c>
      <c r="M462" s="10" t="str">
        <f aca="false">IF($E462="","",IFERROR(VLOOKUP($E462,Categories!$A:$B,2,FALSE()),""))</f>
        <v/>
      </c>
    </row>
    <row r="463" customFormat="false" ht="15" hidden="false" customHeight="false" outlineLevel="0" collapsed="false">
      <c r="A463" s="10" t="str">
        <f aca="false">IF(B463="","","T"&amp;TEXT(ROW()-4,"0000"))</f>
        <v/>
      </c>
      <c r="B463" s="23"/>
      <c r="C463" s="10"/>
      <c r="D463" s="10"/>
      <c r="E463" s="10"/>
      <c r="F463" s="25"/>
      <c r="G463" s="10"/>
      <c r="H463" s="25"/>
      <c r="I463" s="12" t="str">
        <f aca="false">IF(F463="","",F463+H463)</f>
        <v/>
      </c>
      <c r="J463" s="10"/>
      <c r="K463" s="10"/>
      <c r="L463" s="10" t="str">
        <f aca="false">IF(B463="","",TEXT(B463,"YYYY-MM"))</f>
        <v/>
      </c>
      <c r="M463" s="10" t="str">
        <f aca="false">IF($E463="","",IFERROR(VLOOKUP($E463,Categories!$A:$B,2,FALSE()),""))</f>
        <v/>
      </c>
    </row>
    <row r="464" customFormat="false" ht="15" hidden="false" customHeight="false" outlineLevel="0" collapsed="false">
      <c r="A464" s="10" t="str">
        <f aca="false">IF(B464="","","T"&amp;TEXT(ROW()-4,"0000"))</f>
        <v/>
      </c>
      <c r="B464" s="23"/>
      <c r="C464" s="10"/>
      <c r="D464" s="10"/>
      <c r="E464" s="10"/>
      <c r="F464" s="25"/>
      <c r="G464" s="10"/>
      <c r="H464" s="25"/>
      <c r="I464" s="12" t="str">
        <f aca="false">IF(F464="","",F464+H464)</f>
        <v/>
      </c>
      <c r="J464" s="10"/>
      <c r="K464" s="10"/>
      <c r="L464" s="10" t="str">
        <f aca="false">IF(B464="","",TEXT(B464,"YYYY-MM"))</f>
        <v/>
      </c>
      <c r="M464" s="10" t="str">
        <f aca="false">IF($E464="","",IFERROR(VLOOKUP($E464,Categories!$A:$B,2,FALSE()),""))</f>
        <v/>
      </c>
    </row>
    <row r="465" customFormat="false" ht="15" hidden="false" customHeight="false" outlineLevel="0" collapsed="false">
      <c r="A465" s="10" t="str">
        <f aca="false">IF(B465="","","T"&amp;TEXT(ROW()-4,"0000"))</f>
        <v/>
      </c>
      <c r="B465" s="23"/>
      <c r="C465" s="10"/>
      <c r="D465" s="10"/>
      <c r="E465" s="10"/>
      <c r="F465" s="25"/>
      <c r="G465" s="10"/>
      <c r="H465" s="25"/>
      <c r="I465" s="12" t="str">
        <f aca="false">IF(F465="","",F465+H465)</f>
        <v/>
      </c>
      <c r="J465" s="10"/>
      <c r="K465" s="10"/>
      <c r="L465" s="10" t="str">
        <f aca="false">IF(B465="","",TEXT(B465,"YYYY-MM"))</f>
        <v/>
      </c>
      <c r="M465" s="10" t="str">
        <f aca="false">IF($E465="","",IFERROR(VLOOKUP($E465,Categories!$A:$B,2,FALSE()),""))</f>
        <v/>
      </c>
    </row>
    <row r="466" customFormat="false" ht="15" hidden="false" customHeight="false" outlineLevel="0" collapsed="false">
      <c r="A466" s="10" t="str">
        <f aca="false">IF(B466="","","T"&amp;TEXT(ROW()-4,"0000"))</f>
        <v/>
      </c>
      <c r="B466" s="23"/>
      <c r="C466" s="10"/>
      <c r="D466" s="10"/>
      <c r="E466" s="10"/>
      <c r="F466" s="25"/>
      <c r="G466" s="10"/>
      <c r="H466" s="25"/>
      <c r="I466" s="12" t="str">
        <f aca="false">IF(F466="","",F466+H466)</f>
        <v/>
      </c>
      <c r="J466" s="10"/>
      <c r="K466" s="10"/>
      <c r="L466" s="10" t="str">
        <f aca="false">IF(B466="","",TEXT(B466,"YYYY-MM"))</f>
        <v/>
      </c>
      <c r="M466" s="10" t="str">
        <f aca="false">IF($E466="","",IFERROR(VLOOKUP($E466,Categories!$A:$B,2,FALSE()),""))</f>
        <v/>
      </c>
    </row>
    <row r="467" customFormat="false" ht="15" hidden="false" customHeight="false" outlineLevel="0" collapsed="false">
      <c r="A467" s="10" t="str">
        <f aca="false">IF(B467="","","T"&amp;TEXT(ROW()-4,"0000"))</f>
        <v/>
      </c>
      <c r="B467" s="23"/>
      <c r="C467" s="10"/>
      <c r="D467" s="10"/>
      <c r="E467" s="10"/>
      <c r="F467" s="25"/>
      <c r="G467" s="10"/>
      <c r="H467" s="25"/>
      <c r="I467" s="12" t="str">
        <f aca="false">IF(F467="","",F467+H467)</f>
        <v/>
      </c>
      <c r="J467" s="10"/>
      <c r="K467" s="10"/>
      <c r="L467" s="10" t="str">
        <f aca="false">IF(B467="","",TEXT(B467,"YYYY-MM"))</f>
        <v/>
      </c>
      <c r="M467" s="10" t="str">
        <f aca="false">IF($E467="","",IFERROR(VLOOKUP($E467,Categories!$A:$B,2,FALSE()),""))</f>
        <v/>
      </c>
    </row>
    <row r="468" customFormat="false" ht="15" hidden="false" customHeight="false" outlineLevel="0" collapsed="false">
      <c r="A468" s="10" t="str">
        <f aca="false">IF(B468="","","T"&amp;TEXT(ROW()-4,"0000"))</f>
        <v/>
      </c>
      <c r="B468" s="23"/>
      <c r="C468" s="10"/>
      <c r="D468" s="10"/>
      <c r="E468" s="10"/>
      <c r="F468" s="25"/>
      <c r="G468" s="10"/>
      <c r="H468" s="25"/>
      <c r="I468" s="12" t="str">
        <f aca="false">IF(F468="","",F468+H468)</f>
        <v/>
      </c>
      <c r="J468" s="10"/>
      <c r="K468" s="10"/>
      <c r="L468" s="10" t="str">
        <f aca="false">IF(B468="","",TEXT(B468,"YYYY-MM"))</f>
        <v/>
      </c>
      <c r="M468" s="10" t="str">
        <f aca="false">IF($E468="","",IFERROR(VLOOKUP($E468,Categories!$A:$B,2,FALSE()),""))</f>
        <v/>
      </c>
    </row>
    <row r="469" customFormat="false" ht="15" hidden="false" customHeight="false" outlineLevel="0" collapsed="false">
      <c r="A469" s="10" t="str">
        <f aca="false">IF(B469="","","T"&amp;TEXT(ROW()-4,"0000"))</f>
        <v/>
      </c>
      <c r="B469" s="23"/>
      <c r="C469" s="10"/>
      <c r="D469" s="10"/>
      <c r="E469" s="10"/>
      <c r="F469" s="25"/>
      <c r="G469" s="10"/>
      <c r="H469" s="25"/>
      <c r="I469" s="12" t="str">
        <f aca="false">IF(F469="","",F469+H469)</f>
        <v/>
      </c>
      <c r="J469" s="10"/>
      <c r="K469" s="10"/>
      <c r="L469" s="10" t="str">
        <f aca="false">IF(B469="","",TEXT(B469,"YYYY-MM"))</f>
        <v/>
      </c>
      <c r="M469" s="10" t="str">
        <f aca="false">IF($E469="","",IFERROR(VLOOKUP($E469,Categories!$A:$B,2,FALSE()),""))</f>
        <v/>
      </c>
    </row>
    <row r="470" customFormat="false" ht="15" hidden="false" customHeight="false" outlineLevel="0" collapsed="false">
      <c r="A470" s="10" t="str">
        <f aca="false">IF(B470="","","T"&amp;TEXT(ROW()-4,"0000"))</f>
        <v/>
      </c>
      <c r="B470" s="23"/>
      <c r="C470" s="10"/>
      <c r="D470" s="10"/>
      <c r="E470" s="10"/>
      <c r="F470" s="25"/>
      <c r="G470" s="10"/>
      <c r="H470" s="25"/>
      <c r="I470" s="12" t="str">
        <f aca="false">IF(F470="","",F470+H470)</f>
        <v/>
      </c>
      <c r="J470" s="10"/>
      <c r="K470" s="10"/>
      <c r="L470" s="10" t="str">
        <f aca="false">IF(B470="","",TEXT(B470,"YYYY-MM"))</f>
        <v/>
      </c>
      <c r="M470" s="10" t="str">
        <f aca="false">IF($E470="","",IFERROR(VLOOKUP($E470,Categories!$A:$B,2,FALSE()),""))</f>
        <v/>
      </c>
    </row>
    <row r="471" customFormat="false" ht="15" hidden="false" customHeight="false" outlineLevel="0" collapsed="false">
      <c r="A471" s="10" t="str">
        <f aca="false">IF(B471="","","T"&amp;TEXT(ROW()-4,"0000"))</f>
        <v/>
      </c>
      <c r="B471" s="23"/>
      <c r="C471" s="10"/>
      <c r="D471" s="10"/>
      <c r="E471" s="10"/>
      <c r="F471" s="25"/>
      <c r="G471" s="10"/>
      <c r="H471" s="25"/>
      <c r="I471" s="12" t="str">
        <f aca="false">IF(F471="","",F471+H471)</f>
        <v/>
      </c>
      <c r="J471" s="10"/>
      <c r="K471" s="10"/>
      <c r="L471" s="10" t="str">
        <f aca="false">IF(B471="","",TEXT(B471,"YYYY-MM"))</f>
        <v/>
      </c>
      <c r="M471" s="10" t="str">
        <f aca="false">IF($E471="","",IFERROR(VLOOKUP($E471,Categories!$A:$B,2,FALSE()),""))</f>
        <v/>
      </c>
    </row>
    <row r="472" customFormat="false" ht="15" hidden="false" customHeight="false" outlineLevel="0" collapsed="false">
      <c r="A472" s="10" t="str">
        <f aca="false">IF(B472="","","T"&amp;TEXT(ROW()-4,"0000"))</f>
        <v/>
      </c>
      <c r="B472" s="23"/>
      <c r="C472" s="10"/>
      <c r="D472" s="10"/>
      <c r="E472" s="10"/>
      <c r="F472" s="25"/>
      <c r="G472" s="10"/>
      <c r="H472" s="25"/>
      <c r="I472" s="12" t="str">
        <f aca="false">IF(F472="","",F472+H472)</f>
        <v/>
      </c>
      <c r="J472" s="10"/>
      <c r="K472" s="10"/>
      <c r="L472" s="10" t="str">
        <f aca="false">IF(B472="","",TEXT(B472,"YYYY-MM"))</f>
        <v/>
      </c>
      <c r="M472" s="10" t="str">
        <f aca="false">IF($E472="","",IFERROR(VLOOKUP($E472,Categories!$A:$B,2,FALSE()),""))</f>
        <v/>
      </c>
    </row>
    <row r="473" customFormat="false" ht="15" hidden="false" customHeight="false" outlineLevel="0" collapsed="false">
      <c r="A473" s="10" t="str">
        <f aca="false">IF(B473="","","T"&amp;TEXT(ROW()-4,"0000"))</f>
        <v/>
      </c>
      <c r="B473" s="23"/>
      <c r="C473" s="10"/>
      <c r="D473" s="10"/>
      <c r="E473" s="10"/>
      <c r="F473" s="25"/>
      <c r="G473" s="10"/>
      <c r="H473" s="25"/>
      <c r="I473" s="12" t="str">
        <f aca="false">IF(F473="","",F473+H473)</f>
        <v/>
      </c>
      <c r="J473" s="10"/>
      <c r="K473" s="10"/>
      <c r="L473" s="10" t="str">
        <f aca="false">IF(B473="","",TEXT(B473,"YYYY-MM"))</f>
        <v/>
      </c>
      <c r="M473" s="10" t="str">
        <f aca="false">IF($E473="","",IFERROR(VLOOKUP($E473,Categories!$A:$B,2,FALSE()),""))</f>
        <v/>
      </c>
    </row>
    <row r="474" customFormat="false" ht="15" hidden="false" customHeight="false" outlineLevel="0" collapsed="false">
      <c r="A474" s="10" t="str">
        <f aca="false">IF(B474="","","T"&amp;TEXT(ROW()-4,"0000"))</f>
        <v/>
      </c>
      <c r="B474" s="23"/>
      <c r="C474" s="10"/>
      <c r="D474" s="10"/>
      <c r="E474" s="10"/>
      <c r="F474" s="25"/>
      <c r="G474" s="10"/>
      <c r="H474" s="25"/>
      <c r="I474" s="12" t="str">
        <f aca="false">IF(F474="","",F474+H474)</f>
        <v/>
      </c>
      <c r="J474" s="10"/>
      <c r="K474" s="10"/>
      <c r="L474" s="10" t="str">
        <f aca="false">IF(B474="","",TEXT(B474,"YYYY-MM"))</f>
        <v/>
      </c>
      <c r="M474" s="10" t="str">
        <f aca="false">IF($E474="","",IFERROR(VLOOKUP($E474,Categories!$A:$B,2,FALSE()),""))</f>
        <v/>
      </c>
    </row>
    <row r="475" customFormat="false" ht="15" hidden="false" customHeight="false" outlineLevel="0" collapsed="false">
      <c r="A475" s="10" t="str">
        <f aca="false">IF(B475="","","T"&amp;TEXT(ROW()-4,"0000"))</f>
        <v/>
      </c>
      <c r="B475" s="23"/>
      <c r="C475" s="10"/>
      <c r="D475" s="10"/>
      <c r="E475" s="10"/>
      <c r="F475" s="25"/>
      <c r="G475" s="10"/>
      <c r="H475" s="25"/>
      <c r="I475" s="12" t="str">
        <f aca="false">IF(F475="","",F475+H475)</f>
        <v/>
      </c>
      <c r="J475" s="10"/>
      <c r="K475" s="10"/>
      <c r="L475" s="10" t="str">
        <f aca="false">IF(B475="","",TEXT(B475,"YYYY-MM"))</f>
        <v/>
      </c>
      <c r="M475" s="10" t="str">
        <f aca="false">IF($E475="","",IFERROR(VLOOKUP($E475,Categories!$A:$B,2,FALSE()),""))</f>
        <v/>
      </c>
    </row>
    <row r="476" customFormat="false" ht="15" hidden="false" customHeight="false" outlineLevel="0" collapsed="false">
      <c r="A476" s="10" t="str">
        <f aca="false">IF(B476="","","T"&amp;TEXT(ROW()-4,"0000"))</f>
        <v/>
      </c>
      <c r="B476" s="23"/>
      <c r="C476" s="10"/>
      <c r="D476" s="10"/>
      <c r="E476" s="10"/>
      <c r="F476" s="25"/>
      <c r="G476" s="10"/>
      <c r="H476" s="25"/>
      <c r="I476" s="12" t="str">
        <f aca="false">IF(F476="","",F476+H476)</f>
        <v/>
      </c>
      <c r="J476" s="10"/>
      <c r="K476" s="10"/>
      <c r="L476" s="10" t="str">
        <f aca="false">IF(B476="","",TEXT(B476,"YYYY-MM"))</f>
        <v/>
      </c>
      <c r="M476" s="10" t="str">
        <f aca="false">IF($E476="","",IFERROR(VLOOKUP($E476,Categories!$A:$B,2,FALSE()),""))</f>
        <v/>
      </c>
    </row>
    <row r="477" customFormat="false" ht="15" hidden="false" customHeight="false" outlineLevel="0" collapsed="false">
      <c r="A477" s="10" t="str">
        <f aca="false">IF(B477="","","T"&amp;TEXT(ROW()-4,"0000"))</f>
        <v/>
      </c>
      <c r="B477" s="23"/>
      <c r="C477" s="10"/>
      <c r="D477" s="10"/>
      <c r="E477" s="10"/>
      <c r="F477" s="25"/>
      <c r="G477" s="10"/>
      <c r="H477" s="25"/>
      <c r="I477" s="12" t="str">
        <f aca="false">IF(F477="","",F477+H477)</f>
        <v/>
      </c>
      <c r="J477" s="10"/>
      <c r="K477" s="10"/>
      <c r="L477" s="10" t="str">
        <f aca="false">IF(B477="","",TEXT(B477,"YYYY-MM"))</f>
        <v/>
      </c>
      <c r="M477" s="10" t="str">
        <f aca="false">IF($E477="","",IFERROR(VLOOKUP($E477,Categories!$A:$B,2,FALSE()),""))</f>
        <v/>
      </c>
    </row>
    <row r="478" customFormat="false" ht="15" hidden="false" customHeight="false" outlineLevel="0" collapsed="false">
      <c r="A478" s="10" t="str">
        <f aca="false">IF(B478="","","T"&amp;TEXT(ROW()-4,"0000"))</f>
        <v/>
      </c>
      <c r="B478" s="23"/>
      <c r="C478" s="10"/>
      <c r="D478" s="10"/>
      <c r="E478" s="10"/>
      <c r="F478" s="25"/>
      <c r="G478" s="10"/>
      <c r="H478" s="25"/>
      <c r="I478" s="12" t="str">
        <f aca="false">IF(F478="","",F478+H478)</f>
        <v/>
      </c>
      <c r="J478" s="10"/>
      <c r="K478" s="10"/>
      <c r="L478" s="10" t="str">
        <f aca="false">IF(B478="","",TEXT(B478,"YYYY-MM"))</f>
        <v/>
      </c>
      <c r="M478" s="10" t="str">
        <f aca="false">IF($E478="","",IFERROR(VLOOKUP($E478,Categories!$A:$B,2,FALSE()),""))</f>
        <v/>
      </c>
    </row>
    <row r="479" customFormat="false" ht="15" hidden="false" customHeight="false" outlineLevel="0" collapsed="false">
      <c r="A479" s="10" t="str">
        <f aca="false">IF(B479="","","T"&amp;TEXT(ROW()-4,"0000"))</f>
        <v/>
      </c>
      <c r="B479" s="23"/>
      <c r="C479" s="10"/>
      <c r="D479" s="10"/>
      <c r="E479" s="10"/>
      <c r="F479" s="25"/>
      <c r="G479" s="10"/>
      <c r="H479" s="25"/>
      <c r="I479" s="12" t="str">
        <f aca="false">IF(F479="","",F479+H479)</f>
        <v/>
      </c>
      <c r="J479" s="10"/>
      <c r="K479" s="10"/>
      <c r="L479" s="10" t="str">
        <f aca="false">IF(B479="","",TEXT(B479,"YYYY-MM"))</f>
        <v/>
      </c>
      <c r="M479" s="10" t="str">
        <f aca="false">IF($E479="","",IFERROR(VLOOKUP($E479,Categories!$A:$B,2,FALSE()),""))</f>
        <v/>
      </c>
    </row>
    <row r="480" customFormat="false" ht="15" hidden="false" customHeight="false" outlineLevel="0" collapsed="false">
      <c r="A480" s="10" t="str">
        <f aca="false">IF(B480="","","T"&amp;TEXT(ROW()-4,"0000"))</f>
        <v/>
      </c>
      <c r="B480" s="23"/>
      <c r="C480" s="10"/>
      <c r="D480" s="10"/>
      <c r="E480" s="10"/>
      <c r="F480" s="25"/>
      <c r="G480" s="10"/>
      <c r="H480" s="25"/>
      <c r="I480" s="12" t="str">
        <f aca="false">IF(F480="","",F480+H480)</f>
        <v/>
      </c>
      <c r="J480" s="10"/>
      <c r="K480" s="10"/>
      <c r="L480" s="10" t="str">
        <f aca="false">IF(B480="","",TEXT(B480,"YYYY-MM"))</f>
        <v/>
      </c>
      <c r="M480" s="10" t="str">
        <f aca="false">IF($E480="","",IFERROR(VLOOKUP($E480,Categories!$A:$B,2,FALSE()),""))</f>
        <v/>
      </c>
    </row>
    <row r="481" customFormat="false" ht="15" hidden="false" customHeight="false" outlineLevel="0" collapsed="false">
      <c r="A481" s="10" t="str">
        <f aca="false">IF(B481="","","T"&amp;TEXT(ROW()-4,"0000"))</f>
        <v/>
      </c>
      <c r="B481" s="23"/>
      <c r="C481" s="10"/>
      <c r="D481" s="10"/>
      <c r="E481" s="10"/>
      <c r="F481" s="25"/>
      <c r="G481" s="10"/>
      <c r="H481" s="25"/>
      <c r="I481" s="12" t="str">
        <f aca="false">IF(F481="","",F481+H481)</f>
        <v/>
      </c>
      <c r="J481" s="10"/>
      <c r="K481" s="10"/>
      <c r="L481" s="10" t="str">
        <f aca="false">IF(B481="","",TEXT(B481,"YYYY-MM"))</f>
        <v/>
      </c>
      <c r="M481" s="10" t="str">
        <f aca="false">IF($E481="","",IFERROR(VLOOKUP($E481,Categories!$A:$B,2,FALSE()),""))</f>
        <v/>
      </c>
    </row>
    <row r="482" customFormat="false" ht="15" hidden="false" customHeight="false" outlineLevel="0" collapsed="false">
      <c r="A482" s="10" t="str">
        <f aca="false">IF(B482="","","T"&amp;TEXT(ROW()-4,"0000"))</f>
        <v/>
      </c>
      <c r="B482" s="23"/>
      <c r="C482" s="10"/>
      <c r="D482" s="10"/>
      <c r="E482" s="10"/>
      <c r="F482" s="25"/>
      <c r="G482" s="10"/>
      <c r="H482" s="25"/>
      <c r="I482" s="12" t="str">
        <f aca="false">IF(F482="","",F482+H482)</f>
        <v/>
      </c>
      <c r="J482" s="10"/>
      <c r="K482" s="10"/>
      <c r="L482" s="10" t="str">
        <f aca="false">IF(B482="","",TEXT(B482,"YYYY-MM"))</f>
        <v/>
      </c>
      <c r="M482" s="10" t="str">
        <f aca="false">IF($E482="","",IFERROR(VLOOKUP($E482,Categories!$A:$B,2,FALSE()),""))</f>
        <v/>
      </c>
    </row>
    <row r="483" customFormat="false" ht="15" hidden="false" customHeight="false" outlineLevel="0" collapsed="false">
      <c r="A483" s="10" t="str">
        <f aca="false">IF(B483="","","T"&amp;TEXT(ROW()-4,"0000"))</f>
        <v/>
      </c>
      <c r="B483" s="23"/>
      <c r="C483" s="10"/>
      <c r="D483" s="10"/>
      <c r="E483" s="10"/>
      <c r="F483" s="25"/>
      <c r="G483" s="10"/>
      <c r="H483" s="25"/>
      <c r="I483" s="12" t="str">
        <f aca="false">IF(F483="","",F483+H483)</f>
        <v/>
      </c>
      <c r="J483" s="10"/>
      <c r="K483" s="10"/>
      <c r="L483" s="10" t="str">
        <f aca="false">IF(B483="","",TEXT(B483,"YYYY-MM"))</f>
        <v/>
      </c>
      <c r="M483" s="10" t="str">
        <f aca="false">IF($E483="","",IFERROR(VLOOKUP($E483,Categories!$A:$B,2,FALSE()),""))</f>
        <v/>
      </c>
    </row>
    <row r="484" customFormat="false" ht="15" hidden="false" customHeight="false" outlineLevel="0" collapsed="false">
      <c r="A484" s="10" t="str">
        <f aca="false">IF(B484="","","T"&amp;TEXT(ROW()-4,"0000"))</f>
        <v/>
      </c>
      <c r="B484" s="23"/>
      <c r="C484" s="10"/>
      <c r="D484" s="10"/>
      <c r="E484" s="10"/>
      <c r="F484" s="25"/>
      <c r="G484" s="10"/>
      <c r="H484" s="25"/>
      <c r="I484" s="12" t="str">
        <f aca="false">IF(F484="","",F484+H484)</f>
        <v/>
      </c>
      <c r="J484" s="10"/>
      <c r="K484" s="10"/>
      <c r="L484" s="10" t="str">
        <f aca="false">IF(B484="","",TEXT(B484,"YYYY-MM"))</f>
        <v/>
      </c>
      <c r="M484" s="10" t="str">
        <f aca="false">IF($E484="","",IFERROR(VLOOKUP($E484,Categories!$A:$B,2,FALSE()),""))</f>
        <v/>
      </c>
    </row>
    <row r="485" customFormat="false" ht="15" hidden="false" customHeight="false" outlineLevel="0" collapsed="false">
      <c r="A485" s="10" t="str">
        <f aca="false">IF(B485="","","T"&amp;TEXT(ROW()-4,"0000"))</f>
        <v/>
      </c>
      <c r="B485" s="23"/>
      <c r="C485" s="10"/>
      <c r="D485" s="10"/>
      <c r="E485" s="10"/>
      <c r="F485" s="25"/>
      <c r="G485" s="10"/>
      <c r="H485" s="25"/>
      <c r="I485" s="12" t="str">
        <f aca="false">IF(F485="","",F485+H485)</f>
        <v/>
      </c>
      <c r="J485" s="10"/>
      <c r="K485" s="10"/>
      <c r="L485" s="10" t="str">
        <f aca="false">IF(B485="","",TEXT(B485,"YYYY-MM"))</f>
        <v/>
      </c>
      <c r="M485" s="10" t="str">
        <f aca="false">IF($E485="","",IFERROR(VLOOKUP($E485,Categories!$A:$B,2,FALSE()),""))</f>
        <v/>
      </c>
    </row>
    <row r="486" customFormat="false" ht="15" hidden="false" customHeight="false" outlineLevel="0" collapsed="false">
      <c r="A486" s="10" t="str">
        <f aca="false">IF(B486="","","T"&amp;TEXT(ROW()-4,"0000"))</f>
        <v/>
      </c>
      <c r="B486" s="23"/>
      <c r="C486" s="10"/>
      <c r="D486" s="10"/>
      <c r="E486" s="10"/>
      <c r="F486" s="25"/>
      <c r="G486" s="10"/>
      <c r="H486" s="25"/>
      <c r="I486" s="12" t="str">
        <f aca="false">IF(F486="","",F486+H486)</f>
        <v/>
      </c>
      <c r="J486" s="10"/>
      <c r="K486" s="10"/>
      <c r="L486" s="10" t="str">
        <f aca="false">IF(B486="","",TEXT(B486,"YYYY-MM"))</f>
        <v/>
      </c>
      <c r="M486" s="10" t="str">
        <f aca="false">IF($E486="","",IFERROR(VLOOKUP($E486,Categories!$A:$B,2,FALSE()),""))</f>
        <v/>
      </c>
    </row>
    <row r="487" customFormat="false" ht="15" hidden="false" customHeight="false" outlineLevel="0" collapsed="false">
      <c r="A487" s="10" t="str">
        <f aca="false">IF(B487="","","T"&amp;TEXT(ROW()-4,"0000"))</f>
        <v/>
      </c>
      <c r="B487" s="23"/>
      <c r="C487" s="10"/>
      <c r="D487" s="10"/>
      <c r="E487" s="10"/>
      <c r="F487" s="25"/>
      <c r="G487" s="10"/>
      <c r="H487" s="25"/>
      <c r="I487" s="12" t="str">
        <f aca="false">IF(F487="","",F487+H487)</f>
        <v/>
      </c>
      <c r="J487" s="10"/>
      <c r="K487" s="10"/>
      <c r="L487" s="10" t="str">
        <f aca="false">IF(B487="","",TEXT(B487,"YYYY-MM"))</f>
        <v/>
      </c>
      <c r="M487" s="10" t="str">
        <f aca="false">IF($E487="","",IFERROR(VLOOKUP($E487,Categories!$A:$B,2,FALSE()),""))</f>
        <v/>
      </c>
    </row>
    <row r="488" customFormat="false" ht="15" hidden="false" customHeight="false" outlineLevel="0" collapsed="false">
      <c r="A488" s="10" t="str">
        <f aca="false">IF(B488="","","T"&amp;TEXT(ROW()-4,"0000"))</f>
        <v/>
      </c>
      <c r="B488" s="23"/>
      <c r="C488" s="10"/>
      <c r="D488" s="10"/>
      <c r="E488" s="10"/>
      <c r="F488" s="25"/>
      <c r="G488" s="10"/>
      <c r="H488" s="25"/>
      <c r="I488" s="12" t="str">
        <f aca="false">IF(F488="","",F488+H488)</f>
        <v/>
      </c>
      <c r="J488" s="10"/>
      <c r="K488" s="10"/>
      <c r="L488" s="10" t="str">
        <f aca="false">IF(B488="","",TEXT(B488,"YYYY-MM"))</f>
        <v/>
      </c>
      <c r="M488" s="10" t="str">
        <f aca="false">IF($E488="","",IFERROR(VLOOKUP($E488,Categories!$A:$B,2,FALSE()),""))</f>
        <v/>
      </c>
    </row>
    <row r="489" customFormat="false" ht="15" hidden="false" customHeight="false" outlineLevel="0" collapsed="false">
      <c r="A489" s="10" t="str">
        <f aca="false">IF(B489="","","T"&amp;TEXT(ROW()-4,"0000"))</f>
        <v/>
      </c>
      <c r="B489" s="23"/>
      <c r="C489" s="10"/>
      <c r="D489" s="10"/>
      <c r="E489" s="10"/>
      <c r="F489" s="25"/>
      <c r="G489" s="10"/>
      <c r="H489" s="25"/>
      <c r="I489" s="12" t="str">
        <f aca="false">IF(F489="","",F489+H489)</f>
        <v/>
      </c>
      <c r="J489" s="10"/>
      <c r="K489" s="10"/>
      <c r="L489" s="10" t="str">
        <f aca="false">IF(B489="","",TEXT(B489,"YYYY-MM"))</f>
        <v/>
      </c>
      <c r="M489" s="10" t="str">
        <f aca="false">IF($E489="","",IFERROR(VLOOKUP($E489,Categories!$A:$B,2,FALSE()),""))</f>
        <v/>
      </c>
    </row>
    <row r="490" customFormat="false" ht="15" hidden="false" customHeight="false" outlineLevel="0" collapsed="false">
      <c r="A490" s="10" t="str">
        <f aca="false">IF(B490="","","T"&amp;TEXT(ROW()-4,"0000"))</f>
        <v/>
      </c>
      <c r="B490" s="23"/>
      <c r="C490" s="10"/>
      <c r="D490" s="10"/>
      <c r="E490" s="10"/>
      <c r="F490" s="25"/>
      <c r="G490" s="10"/>
      <c r="H490" s="25"/>
      <c r="I490" s="12" t="str">
        <f aca="false">IF(F490="","",F490+H490)</f>
        <v/>
      </c>
      <c r="J490" s="10"/>
      <c r="K490" s="10"/>
      <c r="L490" s="10" t="str">
        <f aca="false">IF(B490="","",TEXT(B490,"YYYY-MM"))</f>
        <v/>
      </c>
      <c r="M490" s="10" t="str">
        <f aca="false">IF($E490="","",IFERROR(VLOOKUP($E490,Categories!$A:$B,2,FALSE()),""))</f>
        <v/>
      </c>
    </row>
    <row r="491" customFormat="false" ht="15" hidden="false" customHeight="false" outlineLevel="0" collapsed="false">
      <c r="A491" s="10" t="str">
        <f aca="false">IF(B491="","","T"&amp;TEXT(ROW()-4,"0000"))</f>
        <v/>
      </c>
      <c r="B491" s="23"/>
      <c r="C491" s="10"/>
      <c r="D491" s="10"/>
      <c r="E491" s="10"/>
      <c r="F491" s="25"/>
      <c r="G491" s="10"/>
      <c r="H491" s="25"/>
      <c r="I491" s="12" t="str">
        <f aca="false">IF(F491="","",F491+H491)</f>
        <v/>
      </c>
      <c r="J491" s="10"/>
      <c r="K491" s="10"/>
      <c r="L491" s="10" t="str">
        <f aca="false">IF(B491="","",TEXT(B491,"YYYY-MM"))</f>
        <v/>
      </c>
      <c r="M491" s="10" t="str">
        <f aca="false">IF($E491="","",IFERROR(VLOOKUP($E491,Categories!$A:$B,2,FALSE()),""))</f>
        <v/>
      </c>
    </row>
    <row r="492" customFormat="false" ht="15" hidden="false" customHeight="false" outlineLevel="0" collapsed="false">
      <c r="A492" s="10" t="str">
        <f aca="false">IF(B492="","","T"&amp;TEXT(ROW()-4,"0000"))</f>
        <v/>
      </c>
      <c r="B492" s="23"/>
      <c r="C492" s="10"/>
      <c r="D492" s="10"/>
      <c r="E492" s="10"/>
      <c r="F492" s="25"/>
      <c r="G492" s="10"/>
      <c r="H492" s="25"/>
      <c r="I492" s="12" t="str">
        <f aca="false">IF(F492="","",F492+H492)</f>
        <v/>
      </c>
      <c r="J492" s="10"/>
      <c r="K492" s="10"/>
      <c r="L492" s="10" t="str">
        <f aca="false">IF(B492="","",TEXT(B492,"YYYY-MM"))</f>
        <v/>
      </c>
      <c r="M492" s="10" t="str">
        <f aca="false">IF($E492="","",IFERROR(VLOOKUP($E492,Categories!$A:$B,2,FALSE()),""))</f>
        <v/>
      </c>
    </row>
    <row r="493" customFormat="false" ht="15" hidden="false" customHeight="false" outlineLevel="0" collapsed="false">
      <c r="A493" s="10" t="str">
        <f aca="false">IF(B493="","","T"&amp;TEXT(ROW()-4,"0000"))</f>
        <v/>
      </c>
      <c r="B493" s="23"/>
      <c r="C493" s="10"/>
      <c r="D493" s="10"/>
      <c r="E493" s="10"/>
      <c r="F493" s="25"/>
      <c r="G493" s="10"/>
      <c r="H493" s="25"/>
      <c r="I493" s="12" t="str">
        <f aca="false">IF(F493="","",F493+H493)</f>
        <v/>
      </c>
      <c r="J493" s="10"/>
      <c r="K493" s="10"/>
      <c r="L493" s="10" t="str">
        <f aca="false">IF(B493="","",TEXT(B493,"YYYY-MM"))</f>
        <v/>
      </c>
      <c r="M493" s="10" t="str">
        <f aca="false">IF($E493="","",IFERROR(VLOOKUP($E493,Categories!$A:$B,2,FALSE()),""))</f>
        <v/>
      </c>
    </row>
    <row r="494" customFormat="false" ht="15" hidden="false" customHeight="false" outlineLevel="0" collapsed="false">
      <c r="A494" s="10" t="str">
        <f aca="false">IF(B494="","","T"&amp;TEXT(ROW()-4,"0000"))</f>
        <v/>
      </c>
      <c r="B494" s="23"/>
      <c r="C494" s="10"/>
      <c r="D494" s="10"/>
      <c r="E494" s="10"/>
      <c r="F494" s="25"/>
      <c r="G494" s="10"/>
      <c r="H494" s="25"/>
      <c r="I494" s="12" t="str">
        <f aca="false">IF(F494="","",F494+H494)</f>
        <v/>
      </c>
      <c r="J494" s="10"/>
      <c r="K494" s="10"/>
      <c r="L494" s="10" t="str">
        <f aca="false">IF(B494="","",TEXT(B494,"YYYY-MM"))</f>
        <v/>
      </c>
      <c r="M494" s="10" t="str">
        <f aca="false">IF($E494="","",IFERROR(VLOOKUP($E494,Categories!$A:$B,2,FALSE()),""))</f>
        <v/>
      </c>
    </row>
    <row r="495" customFormat="false" ht="15" hidden="false" customHeight="false" outlineLevel="0" collapsed="false">
      <c r="A495" s="10" t="str">
        <f aca="false">IF(B495="","","T"&amp;TEXT(ROW()-4,"0000"))</f>
        <v/>
      </c>
      <c r="B495" s="23"/>
      <c r="C495" s="10"/>
      <c r="D495" s="10"/>
      <c r="E495" s="10"/>
      <c r="F495" s="25"/>
      <c r="G495" s="10"/>
      <c r="H495" s="25"/>
      <c r="I495" s="12" t="str">
        <f aca="false">IF(F495="","",F495+H495)</f>
        <v/>
      </c>
      <c r="J495" s="10"/>
      <c r="K495" s="10"/>
      <c r="L495" s="10" t="str">
        <f aca="false">IF(B495="","",TEXT(B495,"YYYY-MM"))</f>
        <v/>
      </c>
      <c r="M495" s="10" t="str">
        <f aca="false">IF($E495="","",IFERROR(VLOOKUP($E495,Categories!$A:$B,2,FALSE()),""))</f>
        <v/>
      </c>
    </row>
    <row r="496" customFormat="false" ht="15" hidden="false" customHeight="false" outlineLevel="0" collapsed="false">
      <c r="A496" s="10" t="str">
        <f aca="false">IF(B496="","","T"&amp;TEXT(ROW()-4,"0000"))</f>
        <v/>
      </c>
      <c r="B496" s="23"/>
      <c r="C496" s="10"/>
      <c r="D496" s="10"/>
      <c r="E496" s="10"/>
      <c r="F496" s="25"/>
      <c r="G496" s="10"/>
      <c r="H496" s="25"/>
      <c r="I496" s="12" t="str">
        <f aca="false">IF(F496="","",F496+H496)</f>
        <v/>
      </c>
      <c r="J496" s="10"/>
      <c r="K496" s="10"/>
      <c r="L496" s="10" t="str">
        <f aca="false">IF(B496="","",TEXT(B496,"YYYY-MM"))</f>
        <v/>
      </c>
      <c r="M496" s="10" t="str">
        <f aca="false">IF($E496="","",IFERROR(VLOOKUP($E496,Categories!$A:$B,2,FALSE()),""))</f>
        <v/>
      </c>
    </row>
    <row r="497" customFormat="false" ht="15" hidden="false" customHeight="false" outlineLevel="0" collapsed="false">
      <c r="A497" s="10" t="str">
        <f aca="false">IF(B497="","","T"&amp;TEXT(ROW()-4,"0000"))</f>
        <v/>
      </c>
      <c r="B497" s="23"/>
      <c r="C497" s="10"/>
      <c r="D497" s="10"/>
      <c r="E497" s="10"/>
      <c r="F497" s="25"/>
      <c r="G497" s="10"/>
      <c r="H497" s="25"/>
      <c r="I497" s="12" t="str">
        <f aca="false">IF(F497="","",F497+H497)</f>
        <v/>
      </c>
      <c r="J497" s="10"/>
      <c r="K497" s="10"/>
      <c r="L497" s="10" t="str">
        <f aca="false">IF(B497="","",TEXT(B497,"YYYY-MM"))</f>
        <v/>
      </c>
      <c r="M497" s="10" t="str">
        <f aca="false">IF($E497="","",IFERROR(VLOOKUP($E497,Categories!$A:$B,2,FALSE()),""))</f>
        <v/>
      </c>
    </row>
    <row r="498" customFormat="false" ht="15" hidden="false" customHeight="false" outlineLevel="0" collapsed="false">
      <c r="A498" s="10" t="str">
        <f aca="false">IF(B498="","","T"&amp;TEXT(ROW()-4,"0000"))</f>
        <v/>
      </c>
      <c r="B498" s="23"/>
      <c r="C498" s="10"/>
      <c r="D498" s="10"/>
      <c r="E498" s="10"/>
      <c r="F498" s="25"/>
      <c r="G498" s="10"/>
      <c r="H498" s="25"/>
      <c r="I498" s="12" t="str">
        <f aca="false">IF(F498="","",F498+H498)</f>
        <v/>
      </c>
      <c r="J498" s="10"/>
      <c r="K498" s="10"/>
      <c r="L498" s="10" t="str">
        <f aca="false">IF(B498="","",TEXT(B498,"YYYY-MM"))</f>
        <v/>
      </c>
      <c r="M498" s="10" t="str">
        <f aca="false">IF($E498="","",IFERROR(VLOOKUP($E498,Categories!$A:$B,2,FALSE()),""))</f>
        <v/>
      </c>
    </row>
    <row r="499" customFormat="false" ht="15" hidden="false" customHeight="false" outlineLevel="0" collapsed="false">
      <c r="A499" s="10" t="str">
        <f aca="false">IF(B499="","","T"&amp;TEXT(ROW()-4,"0000"))</f>
        <v/>
      </c>
      <c r="B499" s="23"/>
      <c r="C499" s="10"/>
      <c r="D499" s="10"/>
      <c r="E499" s="10"/>
      <c r="F499" s="25"/>
      <c r="G499" s="10"/>
      <c r="H499" s="25"/>
      <c r="I499" s="12" t="str">
        <f aca="false">IF(F499="","",F499+H499)</f>
        <v/>
      </c>
      <c r="J499" s="10"/>
      <c r="K499" s="10"/>
      <c r="L499" s="10" t="str">
        <f aca="false">IF(B499="","",TEXT(B499,"YYYY-MM"))</f>
        <v/>
      </c>
      <c r="M499" s="10" t="str">
        <f aca="false">IF($E499="","",IFERROR(VLOOKUP($E499,Categories!$A:$B,2,FALSE()),""))</f>
        <v/>
      </c>
    </row>
    <row r="500" customFormat="false" ht="15" hidden="false" customHeight="false" outlineLevel="0" collapsed="false">
      <c r="A500" s="10" t="str">
        <f aca="false">IF(B500="","","T"&amp;TEXT(ROW()-4,"0000"))</f>
        <v/>
      </c>
      <c r="B500" s="23"/>
      <c r="C500" s="10"/>
      <c r="D500" s="10"/>
      <c r="E500" s="10"/>
      <c r="F500" s="25"/>
      <c r="G500" s="10"/>
      <c r="H500" s="25"/>
      <c r="I500" s="12" t="str">
        <f aca="false">IF(F500="","",F500+H500)</f>
        <v/>
      </c>
      <c r="J500" s="10"/>
      <c r="K500" s="10"/>
      <c r="L500" s="10" t="str">
        <f aca="false">IF(B500="","",TEXT(B500,"YYYY-MM"))</f>
        <v/>
      </c>
      <c r="M500" s="10" t="str">
        <f aca="false">IF($E500="","",IFERROR(VLOOKUP($E500,Categories!$A:$B,2,FALSE()),""))</f>
        <v/>
      </c>
    </row>
  </sheetData>
  <mergeCells count="2">
    <mergeCell ref="A1:M1"/>
    <mergeCell ref="A2:M2"/>
  </mergeCells>
  <conditionalFormatting sqref="A5:M500">
    <cfRule type="expression" priority="2" aboveAverage="0" equalAverage="0" bottom="0" percent="0" rank="0" text="" dxfId="1">
      <formula>$G5="Pending Reimbursement"</formula>
    </cfRule>
  </conditionalFormatting>
  <dataValidations count="3">
    <dataValidation allowBlank="true" errorStyle="stop" operator="between" showDropDown="false" showErrorMessage="false" showInputMessage="false" sqref="C5:C500" type="list">
      <formula1>Accounts!$A$5:$A$45</formula1>
      <formula2>0</formula2>
    </dataValidation>
    <dataValidation allowBlank="true" errorStyle="stop" operator="between" showDropDown="false" showErrorMessage="false" showInputMessage="false" sqref="E5:E500" type="list">
      <formula1>Categories!$A$5:$A$60</formula1>
      <formula2>0</formula2>
    </dataValidation>
    <dataValidation allowBlank="true" errorStyle="stop" operator="between" showDropDown="false" showErrorMessage="false" showInputMessage="false" sqref="G5:G500" type="list">
      <formula1>"Normal,Pending Reimbursement,Reimbursed"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72</v>
      </c>
      <c r="B1" s="1"/>
      <c r="C1" s="1"/>
    </row>
    <row r="2" customFormat="false" ht="15" hidden="false" customHeight="false" outlineLevel="0" collapsed="false">
      <c r="A2" s="2" t="s">
        <v>73</v>
      </c>
      <c r="B2" s="2"/>
      <c r="C2" s="2"/>
    </row>
    <row r="4" customFormat="false" ht="26.85" hidden="false" customHeight="false" outlineLevel="0" collapsed="false">
      <c r="A4" s="9" t="s">
        <v>7</v>
      </c>
      <c r="B4" s="9" t="s">
        <v>8</v>
      </c>
      <c r="C4" s="9" t="s">
        <v>9</v>
      </c>
    </row>
    <row r="5" customFormat="false" ht="15" hidden="false" customHeight="false" outlineLevel="0" collapsed="false">
      <c r="A5" s="10" t="s">
        <v>44</v>
      </c>
      <c r="B5" s="10" t="s">
        <v>12</v>
      </c>
      <c r="C5" s="26" t="n">
        <v>500</v>
      </c>
    </row>
    <row r="6" customFormat="false" ht="15" hidden="false" customHeight="false" outlineLevel="0" collapsed="false">
      <c r="A6" s="10" t="s">
        <v>48</v>
      </c>
      <c r="B6" s="10" t="s">
        <v>13</v>
      </c>
      <c r="C6" s="26" t="n">
        <v>200</v>
      </c>
    </row>
    <row r="7" customFormat="false" ht="15" hidden="false" customHeight="false" outlineLevel="0" collapsed="false">
      <c r="A7" s="10" t="s">
        <v>74</v>
      </c>
      <c r="B7" s="10" t="s">
        <v>12</v>
      </c>
      <c r="C7" s="26" t="n">
        <v>150</v>
      </c>
    </row>
    <row r="8" customFormat="false" ht="15" hidden="false" customHeight="false" outlineLevel="0" collapsed="false">
      <c r="A8" s="10" t="s">
        <v>75</v>
      </c>
      <c r="B8" s="10" t="s">
        <v>12</v>
      </c>
      <c r="C8" s="26" t="n">
        <v>1800</v>
      </c>
    </row>
    <row r="9" customFormat="false" ht="15" hidden="false" customHeight="false" outlineLevel="0" collapsed="false">
      <c r="A9" s="10" t="s">
        <v>76</v>
      </c>
      <c r="B9" s="10" t="s">
        <v>12</v>
      </c>
      <c r="C9" s="26" t="n">
        <v>200</v>
      </c>
    </row>
    <row r="10" customFormat="false" ht="15" hidden="false" customHeight="false" outlineLevel="0" collapsed="false">
      <c r="A10" s="10" t="s">
        <v>77</v>
      </c>
      <c r="B10" s="10" t="s">
        <v>13</v>
      </c>
      <c r="C10" s="26" t="n">
        <v>100</v>
      </c>
    </row>
    <row r="11" customFormat="false" ht="15" hidden="false" customHeight="false" outlineLevel="0" collapsed="false">
      <c r="A11" s="10" t="s">
        <v>78</v>
      </c>
      <c r="B11" s="10" t="s">
        <v>13</v>
      </c>
      <c r="C11" s="26" t="n">
        <v>150</v>
      </c>
    </row>
    <row r="12" customFormat="false" ht="15" hidden="false" customHeight="false" outlineLevel="0" collapsed="false">
      <c r="A12" s="10" t="s">
        <v>79</v>
      </c>
      <c r="B12" s="10" t="s">
        <v>12</v>
      </c>
      <c r="C12" s="26" t="n">
        <v>100</v>
      </c>
    </row>
    <row r="13" customFormat="false" ht="15" hidden="false" customHeight="false" outlineLevel="0" collapsed="false">
      <c r="A13" s="10" t="s">
        <v>80</v>
      </c>
      <c r="B13" s="10" t="s">
        <v>13</v>
      </c>
      <c r="C13" s="26" t="n">
        <v>100</v>
      </c>
    </row>
    <row r="14" customFormat="false" ht="15" hidden="false" customHeight="false" outlineLevel="0" collapsed="false">
      <c r="A14" s="10" t="s">
        <v>81</v>
      </c>
      <c r="B14" s="10" t="s">
        <v>13</v>
      </c>
      <c r="C14" s="26" t="n">
        <v>50</v>
      </c>
    </row>
    <row r="15" customFormat="false" ht="15" hidden="false" customHeight="false" outlineLevel="0" collapsed="false">
      <c r="A15" s="10" t="s">
        <v>71</v>
      </c>
      <c r="B15" s="10" t="s">
        <v>13</v>
      </c>
      <c r="C15" s="26" t="n">
        <v>100</v>
      </c>
    </row>
    <row r="16" customFormat="false" ht="15" hidden="false" customHeight="false" outlineLevel="0" collapsed="false">
      <c r="A16" s="10" t="s">
        <v>39</v>
      </c>
      <c r="B16" s="10" t="s">
        <v>82</v>
      </c>
      <c r="C16" s="26" t="n">
        <v>6000</v>
      </c>
    </row>
    <row r="17" customFormat="false" ht="15" hidden="false" customHeight="false" outlineLevel="0" collapsed="false">
      <c r="A17" s="10" t="s">
        <v>68</v>
      </c>
      <c r="B17" s="10" t="s">
        <v>82</v>
      </c>
      <c r="C17" s="26" t="n">
        <v>0</v>
      </c>
    </row>
    <row r="18" customFormat="false" ht="15" hidden="false" customHeight="false" outlineLevel="0" collapsed="false">
      <c r="A18" s="10" t="s">
        <v>64</v>
      </c>
      <c r="B18" s="10" t="s">
        <v>21</v>
      </c>
      <c r="C18" s="26" t="n">
        <v>600</v>
      </c>
    </row>
    <row r="19" customFormat="false" ht="15" hidden="false" customHeight="false" outlineLevel="0" collapsed="false">
      <c r="A19" s="10" t="s">
        <v>83</v>
      </c>
      <c r="B19" s="10" t="s">
        <v>21</v>
      </c>
      <c r="C19" s="26" t="n">
        <v>300</v>
      </c>
    </row>
    <row r="20" customFormat="false" ht="15" hidden="false" customHeight="false" outlineLevel="0" collapsed="false">
      <c r="A20" s="10" t="s">
        <v>54</v>
      </c>
      <c r="B20" s="10" t="s">
        <v>84</v>
      </c>
      <c r="C20" s="26" t="n">
        <v>0</v>
      </c>
    </row>
    <row r="21" customFormat="false" ht="15" hidden="false" customHeight="false" outlineLevel="0" collapsed="false">
      <c r="A21" s="10" t="s">
        <v>57</v>
      </c>
      <c r="B21" s="10" t="s">
        <v>84</v>
      </c>
      <c r="C21" s="26" t="n">
        <v>0</v>
      </c>
    </row>
  </sheetData>
  <mergeCells count="2">
    <mergeCell ref="A1:C1"/>
    <mergeCell ref="A2:C2"/>
  </mergeCells>
  <dataValidations count="1">
    <dataValidation allowBlank="true" errorStyle="stop" operator="between" showDropDown="false" showErrorMessage="false" showInputMessage="false" sqref="B5:B60" type="list">
      <formula1>"Needs,Wants,Savings,Income,Transfer"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6" min="3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85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86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9" t="s">
        <v>87</v>
      </c>
      <c r="B4" s="9" t="s">
        <v>88</v>
      </c>
      <c r="C4" s="9" t="s">
        <v>89</v>
      </c>
      <c r="D4" s="9" t="s">
        <v>90</v>
      </c>
      <c r="E4" s="9" t="s">
        <v>91</v>
      </c>
      <c r="F4" s="9" t="s">
        <v>92</v>
      </c>
      <c r="G4" s="9" t="s">
        <v>93</v>
      </c>
    </row>
    <row r="5" customFormat="false" ht="15" hidden="false" customHeight="false" outlineLevel="0" collapsed="false">
      <c r="A5" s="10" t="s">
        <v>37</v>
      </c>
      <c r="B5" s="10" t="s">
        <v>94</v>
      </c>
      <c r="C5" s="10" t="s">
        <v>95</v>
      </c>
      <c r="D5" s="10" t="s">
        <v>96</v>
      </c>
      <c r="E5" s="24" t="n">
        <v>3200</v>
      </c>
      <c r="F5" s="10" t="s">
        <v>97</v>
      </c>
      <c r="G5" s="10" t="s">
        <v>36</v>
      </c>
    </row>
    <row r="6" customFormat="false" ht="15" hidden="false" customHeight="false" outlineLevel="0" collapsed="false">
      <c r="A6" s="10" t="s">
        <v>59</v>
      </c>
      <c r="B6" s="10" t="s">
        <v>21</v>
      </c>
      <c r="C6" s="10" t="s">
        <v>95</v>
      </c>
      <c r="D6" s="10" t="s">
        <v>96</v>
      </c>
      <c r="E6" s="24" t="n">
        <v>12000</v>
      </c>
      <c r="F6" s="10" t="s">
        <v>97</v>
      </c>
      <c r="G6" s="10" t="s">
        <v>36</v>
      </c>
    </row>
    <row r="7" customFormat="false" ht="15" hidden="false" customHeight="false" outlineLevel="0" collapsed="false">
      <c r="A7" s="10" t="s">
        <v>46</v>
      </c>
      <c r="B7" s="10" t="s">
        <v>98</v>
      </c>
      <c r="C7" s="10" t="s">
        <v>99</v>
      </c>
      <c r="D7" s="10" t="s">
        <v>100</v>
      </c>
      <c r="E7" s="24" t="n">
        <v>450</v>
      </c>
      <c r="F7" s="10" t="s">
        <v>97</v>
      </c>
      <c r="G7" s="10" t="s">
        <v>36</v>
      </c>
    </row>
    <row r="8" customFormat="false" ht="15" hidden="false" customHeight="false" outlineLevel="0" collapsed="false">
      <c r="A8" s="10" t="s">
        <v>101</v>
      </c>
      <c r="B8" s="10" t="s">
        <v>102</v>
      </c>
      <c r="C8" s="10" t="s">
        <v>103</v>
      </c>
      <c r="D8" s="10" t="s">
        <v>96</v>
      </c>
      <c r="E8" s="24" t="n">
        <v>28000</v>
      </c>
      <c r="F8" s="10" t="s">
        <v>97</v>
      </c>
      <c r="G8" s="10" t="s">
        <v>36</v>
      </c>
    </row>
    <row r="9" customFormat="false" ht="15" hidden="false" customHeight="false" outlineLevel="0" collapsed="false">
      <c r="A9" s="10" t="s">
        <v>52</v>
      </c>
      <c r="B9" s="10" t="s">
        <v>104</v>
      </c>
      <c r="C9" s="10" t="s">
        <v>105</v>
      </c>
      <c r="D9" s="10" t="s">
        <v>96</v>
      </c>
      <c r="E9" s="24" t="n">
        <v>150</v>
      </c>
      <c r="F9" s="10" t="s">
        <v>97</v>
      </c>
      <c r="G9" s="10" t="s">
        <v>36</v>
      </c>
    </row>
    <row r="48" customFormat="false" ht="15" hidden="false" customHeight="false" outlineLevel="0" collapsed="false">
      <c r="A48" s="3" t="s">
        <v>106</v>
      </c>
    </row>
    <row r="49" customFormat="false" ht="15" hidden="false" customHeight="false" outlineLevel="0" collapsed="false">
      <c r="A49" s="27" t="s">
        <v>107</v>
      </c>
      <c r="B49" s="28" t="n">
        <f aca="false">SUMIFS(E5:E45,D5:D45,"Asset",F5:F45,"Y")</f>
        <v>43350</v>
      </c>
    </row>
    <row r="50" customFormat="false" ht="15" hidden="false" customHeight="false" outlineLevel="0" collapsed="false">
      <c r="A50" s="27" t="s">
        <v>108</v>
      </c>
      <c r="B50" s="28" t="n">
        <f aca="false">SUMIFS(E5:E45,D5:D45,"Liability",F5:F45,"Y")</f>
        <v>450</v>
      </c>
    </row>
    <row r="51" customFormat="false" ht="15" hidden="false" customHeight="false" outlineLevel="0" collapsed="false">
      <c r="A51" s="3" t="s">
        <v>3</v>
      </c>
      <c r="B51" s="29" t="n">
        <f aca="false">B49-B50</f>
        <v>42900</v>
      </c>
    </row>
  </sheetData>
  <mergeCells count="2">
    <mergeCell ref="A1:G1"/>
    <mergeCell ref="A2:G2"/>
  </mergeCells>
  <dataValidations count="3">
    <dataValidation allowBlank="true" errorStyle="stop" operator="between" showDropDown="false" showErrorMessage="false" showInputMessage="false" sqref="B5:B45" type="list">
      <formula1>"Checking,Savings,Credit Card,Investment,Loan,Cash,Other"</formula1>
      <formula2>0</formula2>
    </dataValidation>
    <dataValidation allowBlank="true" errorStyle="stop" operator="between" showDropDown="false" showErrorMessage="false" showInputMessage="false" sqref="D5:D45" type="list">
      <formula1>"Asset,Liability"</formula1>
      <formula2>0</formula2>
    </dataValidation>
    <dataValidation allowBlank="true" errorStyle="stop" operator="between" showDropDown="false" showErrorMessage="false" showInputMessage="false" sqref="F5:F4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109</v>
      </c>
      <c r="B1" s="1"/>
      <c r="C1" s="1"/>
      <c r="D1" s="1"/>
    </row>
    <row r="2" customFormat="false" ht="15" hidden="false" customHeight="false" outlineLevel="0" collapsed="false">
      <c r="A2" s="2" t="s">
        <v>110</v>
      </c>
      <c r="B2" s="2"/>
      <c r="C2" s="2"/>
      <c r="D2" s="2"/>
    </row>
    <row r="4" customFormat="false" ht="15" hidden="false" customHeight="false" outlineLevel="0" collapsed="false">
      <c r="A4" s="9" t="s">
        <v>26</v>
      </c>
      <c r="B4" s="9" t="s">
        <v>107</v>
      </c>
      <c r="C4" s="9" t="s">
        <v>108</v>
      </c>
      <c r="D4" s="9" t="s">
        <v>3</v>
      </c>
    </row>
    <row r="5" customFormat="false" ht="15" hidden="false" customHeight="false" outlineLevel="0" collapsed="false">
      <c r="A5" s="30" t="n">
        <f aca="true">TODAY()</f>
        <v>46259</v>
      </c>
      <c r="B5" s="31" t="n">
        <f aca="false">Accounts!$B$49</f>
        <v>43350</v>
      </c>
      <c r="C5" s="31" t="n">
        <f aca="false">Accounts!$B$50</f>
        <v>450</v>
      </c>
      <c r="D5" s="31" t="n">
        <f aca="false">B5-C5</f>
        <v>42900</v>
      </c>
    </row>
    <row r="6" customFormat="false" ht="15" hidden="false" customHeight="false" outlineLevel="0" collapsed="false">
      <c r="A6" s="23" t="s">
        <v>111</v>
      </c>
      <c r="B6" s="12" t="n">
        <v>40200</v>
      </c>
      <c r="C6" s="12" t="n">
        <v>11200</v>
      </c>
      <c r="D6" s="12" t="n">
        <f aca="false">B6-C6</f>
        <v>29000</v>
      </c>
    </row>
    <row r="7" customFormat="false" ht="15" hidden="false" customHeight="false" outlineLevel="0" collapsed="false">
      <c r="A7" s="32"/>
      <c r="B7" s="32"/>
      <c r="C7" s="32"/>
      <c r="D7" s="17" t="str">
        <f aca="false">IF(B7="","",B7-C7)</f>
        <v/>
      </c>
    </row>
    <row r="8" customFormat="false" ht="15" hidden="false" customHeight="false" outlineLevel="0" collapsed="false">
      <c r="A8" s="32"/>
      <c r="B8" s="32"/>
      <c r="C8" s="32"/>
      <c r="D8" s="17" t="str">
        <f aca="false">IF(B8="","",B8-C8)</f>
        <v/>
      </c>
    </row>
    <row r="9" customFormat="false" ht="15" hidden="false" customHeight="false" outlineLevel="0" collapsed="false">
      <c r="A9" s="32"/>
      <c r="B9" s="32"/>
      <c r="C9" s="32"/>
      <c r="D9" s="17" t="str">
        <f aca="false">IF(B9="","",B9-C9)</f>
        <v/>
      </c>
    </row>
    <row r="10" customFormat="false" ht="15" hidden="false" customHeight="false" outlineLevel="0" collapsed="false">
      <c r="A10" s="32"/>
      <c r="B10" s="32"/>
      <c r="C10" s="32"/>
      <c r="D10" s="17" t="str">
        <f aca="false">IF(B10="","",B10-C10)</f>
        <v/>
      </c>
    </row>
    <row r="11" customFormat="false" ht="15" hidden="false" customHeight="false" outlineLevel="0" collapsed="false">
      <c r="A11" s="32"/>
      <c r="B11" s="32"/>
      <c r="C11" s="32"/>
      <c r="D11" s="17" t="str">
        <f aca="false">IF(B11="","",B11-C11)</f>
        <v/>
      </c>
    </row>
    <row r="12" customFormat="false" ht="15" hidden="false" customHeight="false" outlineLevel="0" collapsed="false">
      <c r="A12" s="32"/>
      <c r="B12" s="32"/>
      <c r="C12" s="32"/>
      <c r="D12" s="17" t="str">
        <f aca="false">IF(B12="","",B12-C12)</f>
        <v/>
      </c>
    </row>
    <row r="13" customFormat="false" ht="15" hidden="false" customHeight="false" outlineLevel="0" collapsed="false">
      <c r="A13" s="32"/>
      <c r="B13" s="32"/>
      <c r="C13" s="32"/>
      <c r="D13" s="17" t="str">
        <f aca="false">IF(B13="","",B13-C13)</f>
        <v/>
      </c>
    </row>
    <row r="14" customFormat="false" ht="15" hidden="false" customHeight="false" outlineLevel="0" collapsed="false">
      <c r="A14" s="32"/>
      <c r="B14" s="32"/>
      <c r="C14" s="32"/>
      <c r="D14" s="17" t="str">
        <f aca="false">IF(B14="","",B14-C14)</f>
        <v/>
      </c>
    </row>
    <row r="15" customFormat="false" ht="15" hidden="false" customHeight="false" outlineLevel="0" collapsed="false">
      <c r="A15" s="32"/>
      <c r="B15" s="32"/>
      <c r="C15" s="32"/>
      <c r="D15" s="17" t="str">
        <f aca="false">IF(B15="","",B15-C15)</f>
        <v/>
      </c>
    </row>
    <row r="16" customFormat="false" ht="15" hidden="false" customHeight="false" outlineLevel="0" collapsed="false">
      <c r="A16" s="32"/>
      <c r="B16" s="32"/>
      <c r="C16" s="32"/>
      <c r="D16" s="17" t="str">
        <f aca="false">IF(B16="","",B16-C16)</f>
        <v/>
      </c>
    </row>
    <row r="17" customFormat="false" ht="15" hidden="false" customHeight="false" outlineLevel="0" collapsed="false">
      <c r="A17" s="32"/>
      <c r="B17" s="32"/>
      <c r="C17" s="32"/>
      <c r="D17" s="17" t="str">
        <f aca="false">IF(B17="","",B17-C17)</f>
        <v/>
      </c>
    </row>
    <row r="18" customFormat="false" ht="15" hidden="false" customHeight="false" outlineLevel="0" collapsed="false">
      <c r="A18" s="32"/>
      <c r="B18" s="32"/>
      <c r="C18" s="32"/>
      <c r="D18" s="17" t="str">
        <f aca="false">IF(B18="","",B18-C18)</f>
        <v/>
      </c>
    </row>
    <row r="19" customFormat="false" ht="15" hidden="false" customHeight="false" outlineLevel="0" collapsed="false">
      <c r="A19" s="32"/>
      <c r="B19" s="32"/>
      <c r="C19" s="32"/>
      <c r="D19" s="17" t="str">
        <f aca="false">IF(B19="","",B19-C19)</f>
        <v/>
      </c>
    </row>
    <row r="20" customFormat="false" ht="15" hidden="false" customHeight="false" outlineLevel="0" collapsed="false">
      <c r="A20" s="32"/>
      <c r="B20" s="32"/>
      <c r="C20" s="32"/>
      <c r="D20" s="17" t="str">
        <f aca="false">IF(B20="","",B20-C20)</f>
        <v/>
      </c>
    </row>
    <row r="21" customFormat="false" ht="15" hidden="false" customHeight="false" outlineLevel="0" collapsed="false">
      <c r="A21" s="32"/>
      <c r="B21" s="32"/>
      <c r="C21" s="32"/>
      <c r="D21" s="17" t="str">
        <f aca="false">IF(B21="","",B21-C21)</f>
        <v/>
      </c>
    </row>
    <row r="22" customFormat="false" ht="15" hidden="false" customHeight="false" outlineLevel="0" collapsed="false">
      <c r="A22" s="32"/>
      <c r="B22" s="32"/>
      <c r="C22" s="32"/>
      <c r="D22" s="17" t="str">
        <f aca="false">IF(B22="","",B22-C22)</f>
        <v/>
      </c>
    </row>
    <row r="23" customFormat="false" ht="15" hidden="false" customHeight="false" outlineLevel="0" collapsed="false">
      <c r="A23" s="32"/>
      <c r="B23" s="32"/>
      <c r="C23" s="32"/>
      <c r="D23" s="17" t="str">
        <f aca="false">IF(B23="","",B23-C23)</f>
        <v/>
      </c>
    </row>
    <row r="24" customFormat="false" ht="15" hidden="false" customHeight="false" outlineLevel="0" collapsed="false">
      <c r="A24" s="32"/>
      <c r="B24" s="32"/>
      <c r="C24" s="32"/>
      <c r="D24" s="17" t="str">
        <f aca="false">IF(B24="","",B24-C24)</f>
        <v/>
      </c>
    </row>
    <row r="25" customFormat="false" ht="15" hidden="false" customHeight="false" outlineLevel="0" collapsed="false">
      <c r="A25" s="32"/>
      <c r="B25" s="32"/>
      <c r="C25" s="32"/>
      <c r="D25" s="17" t="str">
        <f aca="false">IF(B25="","",B25-C25)</f>
        <v/>
      </c>
    </row>
    <row r="26" customFormat="false" ht="15" hidden="false" customHeight="false" outlineLevel="0" collapsed="false">
      <c r="A26" s="32"/>
      <c r="B26" s="32"/>
      <c r="C26" s="32"/>
      <c r="D26" s="17" t="str">
        <f aca="false">IF(B26="","",B26-C26)</f>
        <v/>
      </c>
    </row>
    <row r="27" customFormat="false" ht="15" hidden="false" customHeight="false" outlineLevel="0" collapsed="false">
      <c r="A27" s="32"/>
      <c r="B27" s="32"/>
      <c r="C27" s="32"/>
      <c r="D27" s="17" t="str">
        <f aca="false">IF(B27="","",B27-C27)</f>
        <v/>
      </c>
    </row>
    <row r="28" customFormat="false" ht="15" hidden="false" customHeight="false" outlineLevel="0" collapsed="false">
      <c r="A28" s="32"/>
      <c r="B28" s="32"/>
      <c r="C28" s="32"/>
      <c r="D28" s="17" t="str">
        <f aca="false">IF(B28="","",B28-C28)</f>
        <v/>
      </c>
    </row>
    <row r="29" customFormat="false" ht="15" hidden="false" customHeight="false" outlineLevel="0" collapsed="false">
      <c r="A29" s="32"/>
      <c r="B29" s="32"/>
      <c r="C29" s="32"/>
      <c r="D29" s="17" t="str">
        <f aca="false">IF(B29="","",B29-C29)</f>
        <v/>
      </c>
    </row>
    <row r="30" customFormat="false" ht="15" hidden="false" customHeight="false" outlineLevel="0" collapsed="false">
      <c r="A30" s="32"/>
      <c r="B30" s="32"/>
      <c r="C30" s="32"/>
      <c r="D30" s="17" t="str">
        <f aca="false">IF(B30="","",B30-C30)</f>
        <v/>
      </c>
    </row>
    <row r="31" customFormat="false" ht="15" hidden="false" customHeight="false" outlineLevel="0" collapsed="false">
      <c r="A31" s="32"/>
      <c r="B31" s="32"/>
      <c r="C31" s="32"/>
      <c r="D31" s="17" t="str">
        <f aca="false">IF(B31="","",B31-C31)</f>
        <v/>
      </c>
    </row>
    <row r="32" customFormat="false" ht="15" hidden="false" customHeight="false" outlineLevel="0" collapsed="false">
      <c r="A32" s="32"/>
      <c r="B32" s="32"/>
      <c r="C32" s="32"/>
      <c r="D32" s="17" t="str">
        <f aca="false">IF(B32="","",B32-C32)</f>
        <v/>
      </c>
    </row>
    <row r="33" customFormat="false" ht="15" hidden="false" customHeight="false" outlineLevel="0" collapsed="false">
      <c r="A33" s="32"/>
      <c r="B33" s="32"/>
      <c r="C33" s="32"/>
      <c r="D33" s="17" t="str">
        <f aca="false">IF(B33="","",B33-C33)</f>
        <v/>
      </c>
    </row>
    <row r="34" customFormat="false" ht="15" hidden="false" customHeight="false" outlineLevel="0" collapsed="false">
      <c r="A34" s="32"/>
      <c r="B34" s="32"/>
      <c r="C34" s="32"/>
      <c r="D34" s="17" t="str">
        <f aca="false">IF(B34="","",B34-C34)</f>
        <v/>
      </c>
    </row>
    <row r="35" customFormat="false" ht="15" hidden="false" customHeight="false" outlineLevel="0" collapsed="false">
      <c r="A35" s="32"/>
      <c r="B35" s="32"/>
      <c r="C35" s="32"/>
      <c r="D35" s="17" t="str">
        <f aca="false">IF(B35="","",B35-C35)</f>
        <v/>
      </c>
    </row>
    <row r="36" customFormat="false" ht="15" hidden="false" customHeight="false" outlineLevel="0" collapsed="false">
      <c r="A36" s="32"/>
      <c r="B36" s="32"/>
      <c r="C36" s="32"/>
      <c r="D36" s="17" t="str">
        <f aca="false">IF(B36="","",B36-C36)</f>
        <v/>
      </c>
    </row>
    <row r="37" customFormat="false" ht="15" hidden="false" customHeight="false" outlineLevel="0" collapsed="false">
      <c r="A37" s="32"/>
      <c r="B37" s="32"/>
      <c r="C37" s="32"/>
      <c r="D37" s="17" t="str">
        <f aca="false">IF(B37="","",B37-C37)</f>
        <v/>
      </c>
    </row>
    <row r="38" customFormat="false" ht="15" hidden="false" customHeight="false" outlineLevel="0" collapsed="false">
      <c r="A38" s="32"/>
      <c r="B38" s="32"/>
      <c r="C38" s="32"/>
      <c r="D38" s="17" t="str">
        <f aca="false">IF(B38="","",B38-C38)</f>
        <v/>
      </c>
    </row>
    <row r="39" customFormat="false" ht="15" hidden="false" customHeight="false" outlineLevel="0" collapsed="false">
      <c r="A39" s="32"/>
      <c r="B39" s="32"/>
      <c r="C39" s="32"/>
      <c r="D39" s="17" t="str">
        <f aca="false">IF(B39="","",B39-C39)</f>
        <v/>
      </c>
    </row>
    <row r="40" customFormat="false" ht="15" hidden="false" customHeight="false" outlineLevel="0" collapsed="false">
      <c r="A40" s="32"/>
      <c r="B40" s="32"/>
      <c r="C40" s="32"/>
      <c r="D40" s="17" t="str">
        <f aca="false">IF(B40="","",B40-C40)</f>
        <v/>
      </c>
    </row>
    <row r="41" customFormat="false" ht="15" hidden="false" customHeight="false" outlineLevel="0" collapsed="false">
      <c r="A41" s="32"/>
      <c r="B41" s="32"/>
      <c r="C41" s="32"/>
      <c r="D41" s="17" t="str">
        <f aca="false">IF(B41="","",B41-C41)</f>
        <v/>
      </c>
    </row>
    <row r="42" customFormat="false" ht="15" hidden="false" customHeight="false" outlineLevel="0" collapsed="false">
      <c r="A42" s="32"/>
      <c r="B42" s="32"/>
      <c r="C42" s="32"/>
      <c r="D42" s="17" t="str">
        <f aca="false">IF(B42="","",B42-C42)</f>
        <v/>
      </c>
    </row>
    <row r="43" customFormat="false" ht="15" hidden="false" customHeight="false" outlineLevel="0" collapsed="false">
      <c r="A43" s="32"/>
      <c r="B43" s="32"/>
      <c r="C43" s="32"/>
      <c r="D43" s="17" t="str">
        <f aca="false">IF(B43="","",B43-C43)</f>
        <v/>
      </c>
    </row>
    <row r="44" customFormat="false" ht="15" hidden="false" customHeight="false" outlineLevel="0" collapsed="false">
      <c r="A44" s="32"/>
      <c r="B44" s="32"/>
      <c r="C44" s="32"/>
      <c r="D44" s="17" t="str">
        <f aca="false">IF(B44="","",B44-C44)</f>
        <v/>
      </c>
    </row>
    <row r="45" customFormat="false" ht="15" hidden="false" customHeight="false" outlineLevel="0" collapsed="false">
      <c r="A45" s="32"/>
      <c r="B45" s="32"/>
      <c r="C45" s="32"/>
      <c r="D45" s="17" t="str">
        <f aca="false">IF(B45="","",B45-C45)</f>
        <v/>
      </c>
    </row>
    <row r="46" customFormat="false" ht="15" hidden="false" customHeight="false" outlineLevel="0" collapsed="false">
      <c r="A46" s="32"/>
      <c r="B46" s="32"/>
      <c r="C46" s="32"/>
      <c r="D46" s="17" t="str">
        <f aca="false">IF(B46="","",B46-C46)</f>
        <v/>
      </c>
    </row>
    <row r="47" customFormat="false" ht="15" hidden="false" customHeight="false" outlineLevel="0" collapsed="false">
      <c r="A47" s="32"/>
      <c r="B47" s="32"/>
      <c r="C47" s="32"/>
      <c r="D47" s="17" t="str">
        <f aca="false">IF(B47="","",B47-C47)</f>
        <v/>
      </c>
    </row>
    <row r="48" customFormat="false" ht="15" hidden="false" customHeight="false" outlineLevel="0" collapsed="false">
      <c r="A48" s="32"/>
      <c r="B48" s="32"/>
      <c r="C48" s="32"/>
      <c r="D48" s="17" t="str">
        <f aca="false">IF(B48="","",B48-C48)</f>
        <v/>
      </c>
    </row>
    <row r="49" customFormat="false" ht="15" hidden="false" customHeight="false" outlineLevel="0" collapsed="false">
      <c r="A49" s="32"/>
      <c r="B49" s="32"/>
      <c r="C49" s="32"/>
      <c r="D49" s="17" t="str">
        <f aca="false">IF(B49="","",B49-C49)</f>
        <v/>
      </c>
    </row>
    <row r="50" customFormat="false" ht="15" hidden="false" customHeight="false" outlineLevel="0" collapsed="false">
      <c r="A50" s="32"/>
      <c r="B50" s="32"/>
      <c r="C50" s="32"/>
      <c r="D50" s="17" t="str">
        <f aca="false">IF(B50="","",B50-C50)</f>
        <v/>
      </c>
    </row>
    <row r="51" customFormat="false" ht="15" hidden="false" customHeight="false" outlineLevel="0" collapsed="false">
      <c r="A51" s="32"/>
      <c r="B51" s="32"/>
      <c r="C51" s="32"/>
      <c r="D51" s="17" t="str">
        <f aca="false">IF(B51="","",B51-C51)</f>
        <v/>
      </c>
    </row>
    <row r="52" customFormat="false" ht="15" hidden="false" customHeight="false" outlineLevel="0" collapsed="false">
      <c r="A52" s="32"/>
      <c r="B52" s="32"/>
      <c r="C52" s="32"/>
      <c r="D52" s="17" t="str">
        <f aca="false">IF(B52="","",B52-C52)</f>
        <v/>
      </c>
    </row>
    <row r="53" customFormat="false" ht="15" hidden="false" customHeight="false" outlineLevel="0" collapsed="false">
      <c r="A53" s="32"/>
      <c r="B53" s="32"/>
      <c r="C53" s="32"/>
      <c r="D53" s="17" t="str">
        <f aca="false">IF(B53="","",B53-C53)</f>
        <v/>
      </c>
    </row>
    <row r="54" customFormat="false" ht="15" hidden="false" customHeight="false" outlineLevel="0" collapsed="false">
      <c r="A54" s="32"/>
      <c r="B54" s="32"/>
      <c r="C54" s="32"/>
      <c r="D54" s="17" t="str">
        <f aca="false">IF(B54="","",B54-C54)</f>
        <v/>
      </c>
    </row>
    <row r="55" customFormat="false" ht="15" hidden="false" customHeight="false" outlineLevel="0" collapsed="false">
      <c r="A55" s="32"/>
      <c r="B55" s="32"/>
      <c r="C55" s="32"/>
      <c r="D55" s="17" t="str">
        <f aca="false">IF(B55="","",B55-C55)</f>
        <v/>
      </c>
    </row>
    <row r="56" customFormat="false" ht="15" hidden="false" customHeight="false" outlineLevel="0" collapsed="false">
      <c r="A56" s="32"/>
      <c r="B56" s="32"/>
      <c r="C56" s="32"/>
      <c r="D56" s="17" t="str">
        <f aca="false">IF(B56="","",B56-C56)</f>
        <v/>
      </c>
    </row>
    <row r="57" customFormat="false" ht="15" hidden="false" customHeight="false" outlineLevel="0" collapsed="false">
      <c r="A57" s="32"/>
      <c r="B57" s="32"/>
      <c r="C57" s="32"/>
      <c r="D57" s="17" t="str">
        <f aca="false">IF(B57="","",B57-C57)</f>
        <v/>
      </c>
    </row>
    <row r="58" customFormat="false" ht="15" hidden="false" customHeight="false" outlineLevel="0" collapsed="false">
      <c r="A58" s="32"/>
      <c r="B58" s="32"/>
      <c r="C58" s="32"/>
      <c r="D58" s="17" t="str">
        <f aca="false">IF(B58="","",B58-C58)</f>
        <v/>
      </c>
    </row>
    <row r="59" customFormat="false" ht="15" hidden="false" customHeight="false" outlineLevel="0" collapsed="false">
      <c r="A59" s="32"/>
      <c r="B59" s="32"/>
      <c r="C59" s="32"/>
      <c r="D59" s="17" t="str">
        <f aca="false">IF(B59="","",B59-C59)</f>
        <v/>
      </c>
    </row>
    <row r="60" customFormat="false" ht="15" hidden="false" customHeight="false" outlineLevel="0" collapsed="false">
      <c r="A60" s="32"/>
      <c r="B60" s="32"/>
      <c r="C60" s="32"/>
      <c r="D60" s="17" t="str">
        <f aca="false">IF(B60="","",B60-C60)</f>
        <v/>
      </c>
    </row>
    <row r="61" customFormat="false" ht="15" hidden="false" customHeight="false" outlineLevel="0" collapsed="false">
      <c r="A61" s="32"/>
      <c r="B61" s="32"/>
      <c r="C61" s="32"/>
      <c r="D61" s="17" t="str">
        <f aca="false">IF(B61="","",B61-C61)</f>
        <v/>
      </c>
    </row>
    <row r="62" customFormat="false" ht="15" hidden="false" customHeight="false" outlineLevel="0" collapsed="false">
      <c r="A62" s="32"/>
      <c r="B62" s="32"/>
      <c r="C62" s="32"/>
      <c r="D62" s="17" t="str">
        <f aca="false">IF(B62="","",B62-C62)</f>
        <v/>
      </c>
    </row>
    <row r="63" customFormat="false" ht="15" hidden="false" customHeight="false" outlineLevel="0" collapsed="false">
      <c r="A63" s="32"/>
      <c r="B63" s="32"/>
      <c r="C63" s="32"/>
      <c r="D63" s="17" t="str">
        <f aca="false">IF(B63="","",B63-C63)</f>
        <v/>
      </c>
    </row>
    <row r="64" customFormat="false" ht="15" hidden="false" customHeight="false" outlineLevel="0" collapsed="false">
      <c r="A64" s="32"/>
      <c r="B64" s="32"/>
      <c r="C64" s="32"/>
      <c r="D64" s="17" t="str">
        <f aca="false">IF(B64="","",B64-C64)</f>
        <v/>
      </c>
    </row>
    <row r="65" customFormat="false" ht="15" hidden="false" customHeight="false" outlineLevel="0" collapsed="false">
      <c r="A65" s="32"/>
      <c r="B65" s="32"/>
      <c r="C65" s="32"/>
      <c r="D65" s="17" t="str">
        <f aca="false">IF(B65="","",B65-C65)</f>
        <v/>
      </c>
    </row>
    <row r="66" customFormat="false" ht="15" hidden="false" customHeight="false" outlineLevel="0" collapsed="false">
      <c r="A66" s="32"/>
      <c r="B66" s="32"/>
      <c r="C66" s="32"/>
      <c r="D66" s="17" t="str">
        <f aca="false">IF(B66="","",B66-C66)</f>
        <v/>
      </c>
    </row>
    <row r="67" customFormat="false" ht="15" hidden="false" customHeight="false" outlineLevel="0" collapsed="false">
      <c r="A67" s="32"/>
      <c r="B67" s="32"/>
      <c r="C67" s="32"/>
      <c r="D67" s="17" t="str">
        <f aca="false">IF(B67="","",B67-C67)</f>
        <v/>
      </c>
    </row>
    <row r="68" customFormat="false" ht="15" hidden="false" customHeight="false" outlineLevel="0" collapsed="false">
      <c r="A68" s="32"/>
      <c r="B68" s="32"/>
      <c r="C68" s="32"/>
      <c r="D68" s="17" t="str">
        <f aca="false">IF(B68="","",B68-C68)</f>
        <v/>
      </c>
    </row>
    <row r="69" customFormat="false" ht="15" hidden="false" customHeight="false" outlineLevel="0" collapsed="false">
      <c r="A69" s="32"/>
      <c r="B69" s="32"/>
      <c r="C69" s="32"/>
      <c r="D69" s="17" t="str">
        <f aca="false">IF(B69="","",B69-C69)</f>
        <v/>
      </c>
    </row>
    <row r="70" customFormat="false" ht="15" hidden="false" customHeight="false" outlineLevel="0" collapsed="false">
      <c r="A70" s="32"/>
      <c r="B70" s="32"/>
      <c r="C70" s="32"/>
      <c r="D70" s="17" t="str">
        <f aca="false">IF(B70="","",B70-C70)</f>
        <v/>
      </c>
    </row>
    <row r="71" customFormat="false" ht="15" hidden="false" customHeight="false" outlineLevel="0" collapsed="false">
      <c r="A71" s="32"/>
      <c r="B71" s="32"/>
      <c r="C71" s="32"/>
      <c r="D71" s="17" t="str">
        <f aca="false">IF(B71="","",B71-C71)</f>
        <v/>
      </c>
    </row>
    <row r="72" customFormat="false" ht="15" hidden="false" customHeight="false" outlineLevel="0" collapsed="false">
      <c r="A72" s="32"/>
      <c r="B72" s="32"/>
      <c r="C72" s="32"/>
      <c r="D72" s="17" t="str">
        <f aca="false">IF(B72="","",B72-C72)</f>
        <v/>
      </c>
    </row>
    <row r="73" customFormat="false" ht="15" hidden="false" customHeight="false" outlineLevel="0" collapsed="false">
      <c r="A73" s="32"/>
      <c r="B73" s="32"/>
      <c r="C73" s="32"/>
      <c r="D73" s="17" t="str">
        <f aca="false">IF(B73="","",B73-C73)</f>
        <v/>
      </c>
    </row>
    <row r="74" customFormat="false" ht="15" hidden="false" customHeight="false" outlineLevel="0" collapsed="false">
      <c r="A74" s="32"/>
      <c r="B74" s="32"/>
      <c r="C74" s="32"/>
      <c r="D74" s="17" t="str">
        <f aca="false">IF(B74="","",B74-C74)</f>
        <v/>
      </c>
    </row>
    <row r="75" customFormat="false" ht="15" hidden="false" customHeight="false" outlineLevel="0" collapsed="false">
      <c r="A75" s="32"/>
      <c r="B75" s="32"/>
      <c r="C75" s="32"/>
      <c r="D75" s="17" t="str">
        <f aca="false">IF(B75="","",B75-C75)</f>
        <v/>
      </c>
    </row>
    <row r="76" customFormat="false" ht="15" hidden="false" customHeight="false" outlineLevel="0" collapsed="false">
      <c r="A76" s="32"/>
      <c r="B76" s="32"/>
      <c r="C76" s="32"/>
      <c r="D76" s="17" t="str">
        <f aca="false">IF(B76="","",B76-C76)</f>
        <v/>
      </c>
    </row>
    <row r="77" customFormat="false" ht="15" hidden="false" customHeight="false" outlineLevel="0" collapsed="false">
      <c r="A77" s="32"/>
      <c r="B77" s="32"/>
      <c r="C77" s="32"/>
      <c r="D77" s="17" t="str">
        <f aca="false">IF(B77="","",B77-C77)</f>
        <v/>
      </c>
    </row>
    <row r="78" customFormat="false" ht="15" hidden="false" customHeight="false" outlineLevel="0" collapsed="false">
      <c r="A78" s="32"/>
      <c r="B78" s="32"/>
      <c r="C78" s="32"/>
      <c r="D78" s="17" t="str">
        <f aca="false">IF(B78="","",B78-C78)</f>
        <v/>
      </c>
    </row>
    <row r="79" customFormat="false" ht="15" hidden="false" customHeight="false" outlineLevel="0" collapsed="false">
      <c r="A79" s="32"/>
      <c r="B79" s="32"/>
      <c r="C79" s="32"/>
      <c r="D79" s="17" t="str">
        <f aca="false">IF(B79="","",B79-C79)</f>
        <v/>
      </c>
    </row>
    <row r="80" customFormat="false" ht="15" hidden="false" customHeight="false" outlineLevel="0" collapsed="false">
      <c r="A80" s="32"/>
      <c r="B80" s="32"/>
      <c r="C80" s="32"/>
      <c r="D80" s="17" t="str">
        <f aca="false">IF(B80="","",B80-C80)</f>
        <v/>
      </c>
    </row>
    <row r="81" customFormat="false" ht="15" hidden="false" customHeight="false" outlineLevel="0" collapsed="false">
      <c r="A81" s="32"/>
      <c r="B81" s="32"/>
      <c r="C81" s="32"/>
      <c r="D81" s="17" t="str">
        <f aca="false">IF(B81="","",B81-C81)</f>
        <v/>
      </c>
    </row>
    <row r="82" customFormat="false" ht="15" hidden="false" customHeight="false" outlineLevel="0" collapsed="false">
      <c r="A82" s="32"/>
      <c r="B82" s="32"/>
      <c r="C82" s="32"/>
      <c r="D82" s="17" t="str">
        <f aca="false">IF(B82="","",B82-C82)</f>
        <v/>
      </c>
    </row>
    <row r="83" customFormat="false" ht="15" hidden="false" customHeight="false" outlineLevel="0" collapsed="false">
      <c r="A83" s="32"/>
      <c r="B83" s="32"/>
      <c r="C83" s="32"/>
      <c r="D83" s="17" t="str">
        <f aca="false">IF(B83="","",B83-C83)</f>
        <v/>
      </c>
    </row>
    <row r="84" customFormat="false" ht="15" hidden="false" customHeight="false" outlineLevel="0" collapsed="false">
      <c r="A84" s="32"/>
      <c r="B84" s="32"/>
      <c r="C84" s="32"/>
      <c r="D84" s="17" t="str">
        <f aca="false">IF(B84="","",B84-C84)</f>
        <v/>
      </c>
    </row>
    <row r="85" customFormat="false" ht="15" hidden="false" customHeight="false" outlineLevel="0" collapsed="false">
      <c r="A85" s="32"/>
      <c r="B85" s="32"/>
      <c r="C85" s="32"/>
      <c r="D85" s="17" t="str">
        <f aca="false">IF(B85="","",B85-C85)</f>
        <v/>
      </c>
    </row>
    <row r="86" customFormat="false" ht="15" hidden="false" customHeight="false" outlineLevel="0" collapsed="false">
      <c r="A86" s="32"/>
      <c r="B86" s="32"/>
      <c r="C86" s="32"/>
      <c r="D86" s="17" t="str">
        <f aca="false">IF(B86="","",B86-C86)</f>
        <v/>
      </c>
    </row>
    <row r="87" customFormat="false" ht="15" hidden="false" customHeight="false" outlineLevel="0" collapsed="false">
      <c r="A87" s="32"/>
      <c r="B87" s="32"/>
      <c r="C87" s="32"/>
      <c r="D87" s="17" t="str">
        <f aca="false">IF(B87="","",B87-C87)</f>
        <v/>
      </c>
    </row>
    <row r="88" customFormat="false" ht="15" hidden="false" customHeight="false" outlineLevel="0" collapsed="false">
      <c r="A88" s="32"/>
      <c r="B88" s="32"/>
      <c r="C88" s="32"/>
      <c r="D88" s="17" t="str">
        <f aca="false">IF(B88="","",B88-C88)</f>
        <v/>
      </c>
    </row>
    <row r="89" customFormat="false" ht="15" hidden="false" customHeight="false" outlineLevel="0" collapsed="false">
      <c r="A89" s="32"/>
      <c r="B89" s="32"/>
      <c r="C89" s="32"/>
      <c r="D89" s="17" t="str">
        <f aca="false">IF(B89="","",B89-C89)</f>
        <v/>
      </c>
    </row>
    <row r="90" customFormat="false" ht="15" hidden="false" customHeight="false" outlineLevel="0" collapsed="false">
      <c r="A90" s="32"/>
      <c r="B90" s="32"/>
      <c r="C90" s="32"/>
      <c r="D90" s="17" t="str">
        <f aca="false">IF(B90="","",B90-C90)</f>
        <v/>
      </c>
    </row>
    <row r="91" customFormat="false" ht="15" hidden="false" customHeight="false" outlineLevel="0" collapsed="false">
      <c r="A91" s="32"/>
      <c r="B91" s="32"/>
      <c r="C91" s="32"/>
      <c r="D91" s="17" t="str">
        <f aca="false">IF(B91="","",B91-C91)</f>
        <v/>
      </c>
    </row>
    <row r="92" customFormat="false" ht="15" hidden="false" customHeight="false" outlineLevel="0" collapsed="false">
      <c r="A92" s="32"/>
      <c r="B92" s="32"/>
      <c r="C92" s="32"/>
      <c r="D92" s="17" t="str">
        <f aca="false">IF(B92="","",B92-C92)</f>
        <v/>
      </c>
    </row>
    <row r="93" customFormat="false" ht="15" hidden="false" customHeight="false" outlineLevel="0" collapsed="false">
      <c r="A93" s="32"/>
      <c r="B93" s="32"/>
      <c r="C93" s="32"/>
      <c r="D93" s="17" t="str">
        <f aca="false">IF(B93="","",B93-C93)</f>
        <v/>
      </c>
    </row>
    <row r="94" customFormat="false" ht="15" hidden="false" customHeight="false" outlineLevel="0" collapsed="false">
      <c r="A94" s="32"/>
      <c r="B94" s="32"/>
      <c r="C94" s="32"/>
      <c r="D94" s="17" t="str">
        <f aca="false">IF(B94="","",B94-C94)</f>
        <v/>
      </c>
    </row>
    <row r="95" customFormat="false" ht="15" hidden="false" customHeight="false" outlineLevel="0" collapsed="false">
      <c r="A95" s="32"/>
      <c r="B95" s="32"/>
      <c r="C95" s="32"/>
      <c r="D95" s="17" t="str">
        <f aca="false">IF(B95="","",B95-C95)</f>
        <v/>
      </c>
    </row>
    <row r="96" customFormat="false" ht="15" hidden="false" customHeight="false" outlineLevel="0" collapsed="false">
      <c r="A96" s="32"/>
      <c r="B96" s="32"/>
      <c r="C96" s="32"/>
      <c r="D96" s="17" t="str">
        <f aca="false">IF(B96="","",B96-C96)</f>
        <v/>
      </c>
    </row>
    <row r="97" customFormat="false" ht="15" hidden="false" customHeight="false" outlineLevel="0" collapsed="false">
      <c r="A97" s="32"/>
      <c r="B97" s="32"/>
      <c r="C97" s="32"/>
      <c r="D97" s="17" t="str">
        <f aca="false">IF(B97="","",B97-C97)</f>
        <v/>
      </c>
    </row>
    <row r="98" customFormat="false" ht="15" hidden="false" customHeight="false" outlineLevel="0" collapsed="false">
      <c r="A98" s="32"/>
      <c r="B98" s="32"/>
      <c r="C98" s="32"/>
      <c r="D98" s="17" t="str">
        <f aca="false">IF(B98="","",B98-C98)</f>
        <v/>
      </c>
    </row>
    <row r="99" customFormat="false" ht="15" hidden="false" customHeight="false" outlineLevel="0" collapsed="false">
      <c r="A99" s="32"/>
      <c r="B99" s="32"/>
      <c r="C99" s="32"/>
      <c r="D99" s="17" t="str">
        <f aca="false">IF(B99="","",B99-C99)</f>
        <v/>
      </c>
    </row>
    <row r="100" customFormat="false" ht="15" hidden="false" customHeight="false" outlineLevel="0" collapsed="false">
      <c r="A100" s="32"/>
      <c r="B100" s="32"/>
      <c r="C100" s="32"/>
      <c r="D100" s="17" t="str">
        <f aca="false">IF(B100="","",B100-C100)</f>
        <v/>
      </c>
    </row>
    <row r="101" customFormat="false" ht="15" hidden="false" customHeight="false" outlineLevel="0" collapsed="false">
      <c r="A101" s="32"/>
      <c r="B101" s="32"/>
      <c r="C101" s="32"/>
      <c r="D101" s="17" t="str">
        <f aca="false">IF(B101="","",B101-C101)</f>
        <v/>
      </c>
    </row>
    <row r="102" customFormat="false" ht="15" hidden="false" customHeight="false" outlineLevel="0" collapsed="false">
      <c r="A102" s="32"/>
      <c r="B102" s="32"/>
      <c r="C102" s="32"/>
      <c r="D102" s="17" t="str">
        <f aca="false">IF(B102="","",B102-C102)</f>
        <v/>
      </c>
    </row>
    <row r="103" customFormat="false" ht="15" hidden="false" customHeight="false" outlineLevel="0" collapsed="false">
      <c r="A103" s="32"/>
      <c r="B103" s="32"/>
      <c r="C103" s="32"/>
      <c r="D103" s="17" t="str">
        <f aca="false">IF(B103="","",B103-C103)</f>
        <v/>
      </c>
    </row>
    <row r="104" customFormat="false" ht="15" hidden="false" customHeight="false" outlineLevel="0" collapsed="false">
      <c r="A104" s="32"/>
      <c r="B104" s="32"/>
      <c r="C104" s="32"/>
      <c r="D104" s="17" t="str">
        <f aca="false">IF(B104="","",B104-C104)</f>
        <v/>
      </c>
    </row>
    <row r="105" customFormat="false" ht="15" hidden="false" customHeight="false" outlineLevel="0" collapsed="false">
      <c r="A105" s="32"/>
      <c r="B105" s="32"/>
      <c r="C105" s="32"/>
      <c r="D105" s="17" t="str">
        <f aca="false">IF(B105="","",B105-C105)</f>
        <v/>
      </c>
    </row>
    <row r="106" customFormat="false" ht="15" hidden="false" customHeight="false" outlineLevel="0" collapsed="false">
      <c r="A106" s="32"/>
      <c r="B106" s="32"/>
      <c r="C106" s="32"/>
      <c r="D106" s="17" t="str">
        <f aca="false">IF(B106="","",B106-C106)</f>
        <v/>
      </c>
    </row>
    <row r="107" customFormat="false" ht="15" hidden="false" customHeight="false" outlineLevel="0" collapsed="false">
      <c r="A107" s="32"/>
      <c r="B107" s="32"/>
      <c r="C107" s="32"/>
      <c r="D107" s="17" t="str">
        <f aca="false">IF(B107="","",B107-C107)</f>
        <v/>
      </c>
    </row>
    <row r="108" customFormat="false" ht="15" hidden="false" customHeight="false" outlineLevel="0" collapsed="false">
      <c r="A108" s="32"/>
      <c r="B108" s="32"/>
      <c r="C108" s="32"/>
      <c r="D108" s="17" t="str">
        <f aca="false">IF(B108="","",B108-C108)</f>
        <v/>
      </c>
    </row>
    <row r="109" customFormat="false" ht="15" hidden="false" customHeight="false" outlineLevel="0" collapsed="false">
      <c r="A109" s="32"/>
      <c r="B109" s="32"/>
      <c r="C109" s="32"/>
      <c r="D109" s="17" t="str">
        <f aca="false">IF(B109="","",B109-C109)</f>
        <v/>
      </c>
    </row>
    <row r="110" customFormat="false" ht="15" hidden="false" customHeight="false" outlineLevel="0" collapsed="false">
      <c r="A110" s="32"/>
      <c r="B110" s="32"/>
      <c r="C110" s="32"/>
      <c r="D110" s="17" t="str">
        <f aca="false">IF(B110="","",B110-C110)</f>
        <v/>
      </c>
    </row>
    <row r="111" customFormat="false" ht="15" hidden="false" customHeight="false" outlineLevel="0" collapsed="false">
      <c r="A111" s="32"/>
      <c r="B111" s="32"/>
      <c r="C111" s="32"/>
      <c r="D111" s="17" t="str">
        <f aca="false">IF(B111="","",B111-C111)</f>
        <v/>
      </c>
    </row>
    <row r="112" customFormat="false" ht="15" hidden="false" customHeight="false" outlineLevel="0" collapsed="false">
      <c r="A112" s="32"/>
      <c r="B112" s="32"/>
      <c r="C112" s="32"/>
      <c r="D112" s="17" t="str">
        <f aca="false">IF(B112="","",B112-C112)</f>
        <v/>
      </c>
    </row>
    <row r="113" customFormat="false" ht="15" hidden="false" customHeight="false" outlineLevel="0" collapsed="false">
      <c r="A113" s="32"/>
      <c r="B113" s="32"/>
      <c r="C113" s="32"/>
      <c r="D113" s="17" t="str">
        <f aca="false">IF(B113="","",B113-C113)</f>
        <v/>
      </c>
    </row>
    <row r="114" customFormat="false" ht="15" hidden="false" customHeight="false" outlineLevel="0" collapsed="false">
      <c r="A114" s="32"/>
      <c r="B114" s="32"/>
      <c r="C114" s="32"/>
      <c r="D114" s="17" t="str">
        <f aca="false">IF(B114="","",B114-C114)</f>
        <v/>
      </c>
    </row>
    <row r="115" customFormat="false" ht="15" hidden="false" customHeight="false" outlineLevel="0" collapsed="false">
      <c r="A115" s="32"/>
      <c r="B115" s="32"/>
      <c r="C115" s="32"/>
      <c r="D115" s="17" t="str">
        <f aca="false">IF(B115="","",B115-C115)</f>
        <v/>
      </c>
    </row>
    <row r="116" customFormat="false" ht="15" hidden="false" customHeight="false" outlineLevel="0" collapsed="false">
      <c r="A116" s="32"/>
      <c r="B116" s="32"/>
      <c r="C116" s="32"/>
      <c r="D116" s="17" t="str">
        <f aca="false">IF(B116="","",B116-C116)</f>
        <v/>
      </c>
    </row>
    <row r="117" customFormat="false" ht="15" hidden="false" customHeight="false" outlineLevel="0" collapsed="false">
      <c r="A117" s="32"/>
      <c r="B117" s="32"/>
      <c r="C117" s="32"/>
      <c r="D117" s="17" t="str">
        <f aca="false">IF(B117="","",B117-C117)</f>
        <v/>
      </c>
    </row>
    <row r="118" customFormat="false" ht="15" hidden="false" customHeight="false" outlineLevel="0" collapsed="false">
      <c r="A118" s="32"/>
      <c r="B118" s="32"/>
      <c r="C118" s="32"/>
      <c r="D118" s="17" t="str">
        <f aca="false">IF(B118="","",B118-C118)</f>
        <v/>
      </c>
    </row>
    <row r="119" customFormat="false" ht="15" hidden="false" customHeight="false" outlineLevel="0" collapsed="false">
      <c r="A119" s="32"/>
      <c r="B119" s="32"/>
      <c r="C119" s="32"/>
      <c r="D119" s="17" t="str">
        <f aca="false">IF(B119="","",B119-C119)</f>
        <v/>
      </c>
    </row>
    <row r="120" customFormat="false" ht="15" hidden="false" customHeight="false" outlineLevel="0" collapsed="false">
      <c r="A120" s="32"/>
      <c r="B120" s="32"/>
      <c r="C120" s="32"/>
      <c r="D120" s="17" t="str">
        <f aca="false">IF(B120="","",B120-C120)</f>
        <v/>
      </c>
    </row>
    <row r="121" customFormat="false" ht="15" hidden="false" customHeight="false" outlineLevel="0" collapsed="false">
      <c r="A121" s="32"/>
      <c r="B121" s="32"/>
      <c r="C121" s="32"/>
      <c r="D121" s="17" t="str">
        <f aca="false">IF(B121="","",B121-C121)</f>
        <v/>
      </c>
    </row>
    <row r="122" customFormat="false" ht="15" hidden="false" customHeight="false" outlineLevel="0" collapsed="false">
      <c r="A122" s="32"/>
      <c r="B122" s="32"/>
      <c r="C122" s="32"/>
      <c r="D122" s="17" t="str">
        <f aca="false">IF(B122="","",B122-C122)</f>
        <v/>
      </c>
    </row>
    <row r="123" customFormat="false" ht="15" hidden="false" customHeight="false" outlineLevel="0" collapsed="false">
      <c r="A123" s="32"/>
      <c r="B123" s="32"/>
      <c r="C123" s="32"/>
      <c r="D123" s="17" t="str">
        <f aca="false">IF(B123="","",B123-C123)</f>
        <v/>
      </c>
    </row>
    <row r="124" customFormat="false" ht="15" hidden="false" customHeight="false" outlineLevel="0" collapsed="false">
      <c r="A124" s="32"/>
      <c r="B124" s="32"/>
      <c r="C124" s="32"/>
      <c r="D124" s="17" t="str">
        <f aca="false">IF(B124="","",B124-C124)</f>
        <v/>
      </c>
    </row>
    <row r="125" customFormat="false" ht="15" hidden="false" customHeight="false" outlineLevel="0" collapsed="false">
      <c r="A125" s="32"/>
      <c r="B125" s="32"/>
      <c r="C125" s="32"/>
      <c r="D125" s="17" t="str">
        <f aca="false">IF(B125="","",B125-C125)</f>
        <v/>
      </c>
    </row>
    <row r="126" customFormat="false" ht="15" hidden="false" customHeight="false" outlineLevel="0" collapsed="false">
      <c r="A126" s="32"/>
      <c r="B126" s="32"/>
      <c r="C126" s="32"/>
      <c r="D126" s="17" t="str">
        <f aca="false">IF(B126="","",B126-C126)</f>
        <v/>
      </c>
    </row>
    <row r="127" customFormat="false" ht="15" hidden="false" customHeight="false" outlineLevel="0" collapsed="false">
      <c r="A127" s="32"/>
      <c r="B127" s="32"/>
      <c r="C127" s="32"/>
      <c r="D127" s="17" t="str">
        <f aca="false">IF(B127="","",B127-C127)</f>
        <v/>
      </c>
    </row>
    <row r="128" customFormat="false" ht="15" hidden="false" customHeight="false" outlineLevel="0" collapsed="false">
      <c r="A128" s="32"/>
      <c r="B128" s="32"/>
      <c r="C128" s="32"/>
      <c r="D128" s="17" t="str">
        <f aca="false">IF(B128="","",B128-C128)</f>
        <v/>
      </c>
    </row>
    <row r="129" customFormat="false" ht="15" hidden="false" customHeight="false" outlineLevel="0" collapsed="false">
      <c r="A129" s="32"/>
      <c r="B129" s="32"/>
      <c r="C129" s="32"/>
      <c r="D129" s="17" t="str">
        <f aca="false">IF(B129="","",B129-C129)</f>
        <v/>
      </c>
    </row>
    <row r="130" customFormat="false" ht="15" hidden="false" customHeight="false" outlineLevel="0" collapsed="false">
      <c r="A130" s="32"/>
      <c r="B130" s="32"/>
      <c r="C130" s="32"/>
      <c r="D130" s="17" t="str">
        <f aca="false">IF(B130="","",B130-C130)</f>
        <v/>
      </c>
    </row>
    <row r="131" customFormat="false" ht="15" hidden="false" customHeight="false" outlineLevel="0" collapsed="false">
      <c r="A131" s="32"/>
      <c r="B131" s="32"/>
      <c r="C131" s="32"/>
      <c r="D131" s="17" t="str">
        <f aca="false">IF(B131="","",B131-C131)</f>
        <v/>
      </c>
    </row>
    <row r="132" customFormat="false" ht="15" hidden="false" customHeight="false" outlineLevel="0" collapsed="false">
      <c r="A132" s="32"/>
      <c r="B132" s="32"/>
      <c r="C132" s="32"/>
      <c r="D132" s="17" t="str">
        <f aca="false">IF(B132="","",B132-C132)</f>
        <v/>
      </c>
    </row>
    <row r="133" customFormat="false" ht="15" hidden="false" customHeight="false" outlineLevel="0" collapsed="false">
      <c r="A133" s="32"/>
      <c r="B133" s="32"/>
      <c r="C133" s="32"/>
      <c r="D133" s="17" t="str">
        <f aca="false">IF(B133="","",B133-C133)</f>
        <v/>
      </c>
    </row>
    <row r="134" customFormat="false" ht="15" hidden="false" customHeight="false" outlineLevel="0" collapsed="false">
      <c r="A134" s="32"/>
      <c r="B134" s="32"/>
      <c r="C134" s="32"/>
      <c r="D134" s="17" t="str">
        <f aca="false">IF(B134="","",B134-C134)</f>
        <v/>
      </c>
    </row>
    <row r="135" customFormat="false" ht="15" hidden="false" customHeight="false" outlineLevel="0" collapsed="false">
      <c r="A135" s="32"/>
      <c r="B135" s="32"/>
      <c r="C135" s="32"/>
      <c r="D135" s="17" t="str">
        <f aca="false">IF(B135="","",B135-C135)</f>
        <v/>
      </c>
    </row>
    <row r="136" customFormat="false" ht="15" hidden="false" customHeight="false" outlineLevel="0" collapsed="false">
      <c r="A136" s="32"/>
      <c r="B136" s="32"/>
      <c r="C136" s="32"/>
      <c r="D136" s="17" t="str">
        <f aca="false">IF(B136="","",B136-C136)</f>
        <v/>
      </c>
    </row>
    <row r="137" customFormat="false" ht="15" hidden="false" customHeight="false" outlineLevel="0" collapsed="false">
      <c r="A137" s="32"/>
      <c r="B137" s="32"/>
      <c r="C137" s="32"/>
      <c r="D137" s="17" t="str">
        <f aca="false">IF(B137="","",B137-C137)</f>
        <v/>
      </c>
    </row>
    <row r="138" customFormat="false" ht="15" hidden="false" customHeight="false" outlineLevel="0" collapsed="false">
      <c r="A138" s="32"/>
      <c r="B138" s="32"/>
      <c r="C138" s="32"/>
      <c r="D138" s="17" t="str">
        <f aca="false">IF(B138="","",B138-C138)</f>
        <v/>
      </c>
    </row>
    <row r="139" customFormat="false" ht="15" hidden="false" customHeight="false" outlineLevel="0" collapsed="false">
      <c r="A139" s="32"/>
      <c r="B139" s="32"/>
      <c r="C139" s="32"/>
      <c r="D139" s="17" t="str">
        <f aca="false">IF(B139="","",B139-C139)</f>
        <v/>
      </c>
    </row>
    <row r="140" customFormat="false" ht="15" hidden="false" customHeight="false" outlineLevel="0" collapsed="false">
      <c r="A140" s="32"/>
      <c r="B140" s="32"/>
      <c r="C140" s="32"/>
      <c r="D140" s="17" t="str">
        <f aca="false">IF(B140="","",B140-C140)</f>
        <v/>
      </c>
    </row>
    <row r="141" customFormat="false" ht="15" hidden="false" customHeight="false" outlineLevel="0" collapsed="false">
      <c r="A141" s="32"/>
      <c r="B141" s="32"/>
      <c r="C141" s="32"/>
      <c r="D141" s="17" t="str">
        <f aca="false">IF(B141="","",B141-C141)</f>
        <v/>
      </c>
    </row>
    <row r="142" customFormat="false" ht="15" hidden="false" customHeight="false" outlineLevel="0" collapsed="false">
      <c r="A142" s="32"/>
      <c r="B142" s="32"/>
      <c r="C142" s="32"/>
      <c r="D142" s="17" t="str">
        <f aca="false">IF(B142="","",B142-C142)</f>
        <v/>
      </c>
    </row>
    <row r="143" customFormat="false" ht="15" hidden="false" customHeight="false" outlineLevel="0" collapsed="false">
      <c r="A143" s="32"/>
      <c r="B143" s="32"/>
      <c r="C143" s="32"/>
      <c r="D143" s="17" t="str">
        <f aca="false">IF(B143="","",B143-C143)</f>
        <v/>
      </c>
    </row>
    <row r="144" customFormat="false" ht="15" hidden="false" customHeight="false" outlineLevel="0" collapsed="false">
      <c r="A144" s="32"/>
      <c r="B144" s="32"/>
      <c r="C144" s="32"/>
      <c r="D144" s="17" t="str">
        <f aca="false">IF(B144="","",B144-C144)</f>
        <v/>
      </c>
    </row>
    <row r="145" customFormat="false" ht="15" hidden="false" customHeight="false" outlineLevel="0" collapsed="false">
      <c r="A145" s="32"/>
      <c r="B145" s="32"/>
      <c r="C145" s="32"/>
      <c r="D145" s="17" t="str">
        <f aca="false">IF(B145="","",B145-C145)</f>
        <v/>
      </c>
    </row>
    <row r="146" customFormat="false" ht="15" hidden="false" customHeight="false" outlineLevel="0" collapsed="false">
      <c r="A146" s="32"/>
      <c r="B146" s="32"/>
      <c r="C146" s="32"/>
      <c r="D146" s="17" t="str">
        <f aca="false">IF(B146="","",B146-C146)</f>
        <v/>
      </c>
    </row>
    <row r="147" customFormat="false" ht="15" hidden="false" customHeight="false" outlineLevel="0" collapsed="false">
      <c r="A147" s="32"/>
      <c r="B147" s="32"/>
      <c r="C147" s="32"/>
      <c r="D147" s="17" t="str">
        <f aca="false">IF(B147="","",B147-C147)</f>
        <v/>
      </c>
    </row>
    <row r="148" customFormat="false" ht="15" hidden="false" customHeight="false" outlineLevel="0" collapsed="false">
      <c r="A148" s="32"/>
      <c r="B148" s="32"/>
      <c r="C148" s="32"/>
      <c r="D148" s="17" t="str">
        <f aca="false">IF(B148="","",B148-C148)</f>
        <v/>
      </c>
    </row>
    <row r="149" customFormat="false" ht="15" hidden="false" customHeight="false" outlineLevel="0" collapsed="false">
      <c r="A149" s="32"/>
      <c r="B149" s="32"/>
      <c r="C149" s="32"/>
      <c r="D149" s="17" t="str">
        <f aca="false">IF(B149="","",B149-C149)</f>
        <v/>
      </c>
    </row>
    <row r="150" customFormat="false" ht="15" hidden="false" customHeight="false" outlineLevel="0" collapsed="false">
      <c r="A150" s="32"/>
      <c r="B150" s="32"/>
      <c r="C150" s="32"/>
      <c r="D150" s="17" t="str">
        <f aca="false">IF(B150="","",B150-C150)</f>
        <v/>
      </c>
    </row>
    <row r="151" customFormat="false" ht="15" hidden="false" customHeight="false" outlineLevel="0" collapsed="false">
      <c r="A151" s="32"/>
      <c r="B151" s="32"/>
      <c r="C151" s="32"/>
      <c r="D151" s="17" t="str">
        <f aca="false">IF(B151="","",B151-C151)</f>
        <v/>
      </c>
    </row>
    <row r="152" customFormat="false" ht="15" hidden="false" customHeight="false" outlineLevel="0" collapsed="false">
      <c r="A152" s="32"/>
      <c r="B152" s="32"/>
      <c r="C152" s="32"/>
      <c r="D152" s="17" t="str">
        <f aca="false">IF(B152="","",B152-C152)</f>
        <v/>
      </c>
    </row>
    <row r="153" customFormat="false" ht="15" hidden="false" customHeight="false" outlineLevel="0" collapsed="false">
      <c r="A153" s="32"/>
      <c r="B153" s="32"/>
      <c r="C153" s="32"/>
      <c r="D153" s="17" t="str">
        <f aca="false">IF(B153="","",B153-C153)</f>
        <v/>
      </c>
    </row>
    <row r="154" customFormat="false" ht="15" hidden="false" customHeight="false" outlineLevel="0" collapsed="false">
      <c r="A154" s="32"/>
      <c r="B154" s="32"/>
      <c r="C154" s="32"/>
      <c r="D154" s="17" t="str">
        <f aca="false">IF(B154="","",B154-C154)</f>
        <v/>
      </c>
    </row>
    <row r="155" customFormat="false" ht="15" hidden="false" customHeight="false" outlineLevel="0" collapsed="false">
      <c r="A155" s="32"/>
      <c r="B155" s="32"/>
      <c r="C155" s="32"/>
      <c r="D155" s="17" t="str">
        <f aca="false">IF(B155="","",B155-C155)</f>
        <v/>
      </c>
    </row>
    <row r="156" customFormat="false" ht="15" hidden="false" customHeight="false" outlineLevel="0" collapsed="false">
      <c r="A156" s="32"/>
      <c r="B156" s="32"/>
      <c r="C156" s="32"/>
      <c r="D156" s="17" t="str">
        <f aca="false">IF(B156="","",B156-C156)</f>
        <v/>
      </c>
    </row>
    <row r="157" customFormat="false" ht="15" hidden="false" customHeight="false" outlineLevel="0" collapsed="false">
      <c r="A157" s="32"/>
      <c r="B157" s="32"/>
      <c r="C157" s="32"/>
      <c r="D157" s="17" t="str">
        <f aca="false">IF(B157="","",B157-C157)</f>
        <v/>
      </c>
    </row>
    <row r="158" customFormat="false" ht="15" hidden="false" customHeight="false" outlineLevel="0" collapsed="false">
      <c r="A158" s="32"/>
      <c r="B158" s="32"/>
      <c r="C158" s="32"/>
      <c r="D158" s="17" t="str">
        <f aca="false">IF(B158="","",B158-C158)</f>
        <v/>
      </c>
    </row>
    <row r="159" customFormat="false" ht="15" hidden="false" customHeight="false" outlineLevel="0" collapsed="false">
      <c r="A159" s="32"/>
      <c r="B159" s="32"/>
      <c r="C159" s="32"/>
      <c r="D159" s="17" t="str">
        <f aca="false">IF(B159="","",B159-C159)</f>
        <v/>
      </c>
    </row>
    <row r="160" customFormat="false" ht="15" hidden="false" customHeight="false" outlineLevel="0" collapsed="false">
      <c r="A160" s="32"/>
      <c r="B160" s="32"/>
      <c r="C160" s="32"/>
      <c r="D160" s="17" t="str">
        <f aca="false">IF(B160="","",B160-C160)</f>
        <v/>
      </c>
    </row>
    <row r="161" customFormat="false" ht="15" hidden="false" customHeight="false" outlineLevel="0" collapsed="false">
      <c r="A161" s="32"/>
      <c r="B161" s="32"/>
      <c r="C161" s="32"/>
      <c r="D161" s="17" t="str">
        <f aca="false">IF(B161="","",B161-C161)</f>
        <v/>
      </c>
    </row>
    <row r="162" customFormat="false" ht="15" hidden="false" customHeight="false" outlineLevel="0" collapsed="false">
      <c r="A162" s="32"/>
      <c r="B162" s="32"/>
      <c r="C162" s="32"/>
      <c r="D162" s="17" t="str">
        <f aca="false">IF(B162="","",B162-C162)</f>
        <v/>
      </c>
    </row>
    <row r="163" customFormat="false" ht="15" hidden="false" customHeight="false" outlineLevel="0" collapsed="false">
      <c r="A163" s="32"/>
      <c r="B163" s="32"/>
      <c r="C163" s="32"/>
      <c r="D163" s="17" t="str">
        <f aca="false">IF(B163="","",B163-C163)</f>
        <v/>
      </c>
    </row>
    <row r="164" customFormat="false" ht="15" hidden="false" customHeight="false" outlineLevel="0" collapsed="false">
      <c r="A164" s="32"/>
      <c r="B164" s="32"/>
      <c r="C164" s="32"/>
      <c r="D164" s="17" t="str">
        <f aca="false">IF(B164="","",B164-C164)</f>
        <v/>
      </c>
    </row>
    <row r="165" customFormat="false" ht="15" hidden="false" customHeight="false" outlineLevel="0" collapsed="false">
      <c r="A165" s="32"/>
      <c r="B165" s="32"/>
      <c r="C165" s="32"/>
      <c r="D165" s="17" t="str">
        <f aca="false">IF(B165="","",B165-C165)</f>
        <v/>
      </c>
    </row>
    <row r="166" customFormat="false" ht="15" hidden="false" customHeight="false" outlineLevel="0" collapsed="false">
      <c r="A166" s="32"/>
      <c r="B166" s="32"/>
      <c r="C166" s="32"/>
      <c r="D166" s="17" t="str">
        <f aca="false">IF(B166="","",B166-C166)</f>
        <v/>
      </c>
    </row>
    <row r="167" customFormat="false" ht="15" hidden="false" customHeight="false" outlineLevel="0" collapsed="false">
      <c r="A167" s="32"/>
      <c r="B167" s="32"/>
      <c r="C167" s="32"/>
      <c r="D167" s="17" t="str">
        <f aca="false">IF(B167="","",B167-C167)</f>
        <v/>
      </c>
    </row>
    <row r="168" customFormat="false" ht="15" hidden="false" customHeight="false" outlineLevel="0" collapsed="false">
      <c r="A168" s="32"/>
      <c r="B168" s="32"/>
      <c r="C168" s="32"/>
      <c r="D168" s="17" t="str">
        <f aca="false">IF(B168="","",B168-C168)</f>
        <v/>
      </c>
    </row>
    <row r="169" customFormat="false" ht="15" hidden="false" customHeight="false" outlineLevel="0" collapsed="false">
      <c r="A169" s="32"/>
      <c r="B169" s="32"/>
      <c r="C169" s="32"/>
      <c r="D169" s="17" t="str">
        <f aca="false">IF(B169="","",B169-C169)</f>
        <v/>
      </c>
    </row>
    <row r="170" customFormat="false" ht="15" hidden="false" customHeight="false" outlineLevel="0" collapsed="false">
      <c r="A170" s="32"/>
      <c r="B170" s="32"/>
      <c r="C170" s="32"/>
      <c r="D170" s="17" t="str">
        <f aca="false">IF(B170="","",B170-C170)</f>
        <v/>
      </c>
    </row>
    <row r="171" customFormat="false" ht="15" hidden="false" customHeight="false" outlineLevel="0" collapsed="false">
      <c r="A171" s="32"/>
      <c r="B171" s="32"/>
      <c r="C171" s="32"/>
      <c r="D171" s="17" t="str">
        <f aca="false">IF(B171="","",B171-C171)</f>
        <v/>
      </c>
    </row>
    <row r="172" customFormat="false" ht="15" hidden="false" customHeight="false" outlineLevel="0" collapsed="false">
      <c r="A172" s="32"/>
      <c r="B172" s="32"/>
      <c r="C172" s="32"/>
      <c r="D172" s="17" t="str">
        <f aca="false">IF(B172="","",B172-C172)</f>
        <v/>
      </c>
    </row>
    <row r="173" customFormat="false" ht="15" hidden="false" customHeight="false" outlineLevel="0" collapsed="false">
      <c r="A173" s="32"/>
      <c r="B173" s="32"/>
      <c r="C173" s="32"/>
      <c r="D173" s="17" t="str">
        <f aca="false">IF(B173="","",B173-C173)</f>
        <v/>
      </c>
    </row>
    <row r="174" customFormat="false" ht="15" hidden="false" customHeight="false" outlineLevel="0" collapsed="false">
      <c r="A174" s="32"/>
      <c r="B174" s="32"/>
      <c r="C174" s="32"/>
      <c r="D174" s="17" t="str">
        <f aca="false">IF(B174="","",B174-C174)</f>
        <v/>
      </c>
    </row>
    <row r="175" customFormat="false" ht="15" hidden="false" customHeight="false" outlineLevel="0" collapsed="false">
      <c r="A175" s="32"/>
      <c r="B175" s="32"/>
      <c r="C175" s="32"/>
      <c r="D175" s="17" t="str">
        <f aca="false">IF(B175="","",B175-C175)</f>
        <v/>
      </c>
    </row>
    <row r="176" customFormat="false" ht="15" hidden="false" customHeight="false" outlineLevel="0" collapsed="false">
      <c r="A176" s="32"/>
      <c r="B176" s="32"/>
      <c r="C176" s="32"/>
      <c r="D176" s="17" t="str">
        <f aca="false">IF(B176="","",B176-C176)</f>
        <v/>
      </c>
    </row>
    <row r="177" customFormat="false" ht="15" hidden="false" customHeight="false" outlineLevel="0" collapsed="false">
      <c r="A177" s="32"/>
      <c r="B177" s="32"/>
      <c r="C177" s="32"/>
      <c r="D177" s="17" t="str">
        <f aca="false">IF(B177="","",B177-C177)</f>
        <v/>
      </c>
    </row>
    <row r="178" customFormat="false" ht="15" hidden="false" customHeight="false" outlineLevel="0" collapsed="false">
      <c r="A178" s="32"/>
      <c r="B178" s="32"/>
      <c r="C178" s="32"/>
      <c r="D178" s="17" t="str">
        <f aca="false">IF(B178="","",B178-C178)</f>
        <v/>
      </c>
    </row>
    <row r="179" customFormat="false" ht="15" hidden="false" customHeight="false" outlineLevel="0" collapsed="false">
      <c r="A179" s="32"/>
      <c r="B179" s="32"/>
      <c r="C179" s="32"/>
      <c r="D179" s="17" t="str">
        <f aca="false">IF(B179="","",B179-C179)</f>
        <v/>
      </c>
    </row>
    <row r="180" customFormat="false" ht="15" hidden="false" customHeight="false" outlineLevel="0" collapsed="false">
      <c r="A180" s="32"/>
      <c r="B180" s="32"/>
      <c r="C180" s="32"/>
      <c r="D180" s="17" t="str">
        <f aca="false">IF(B180="","",B180-C180)</f>
        <v/>
      </c>
    </row>
    <row r="181" customFormat="false" ht="15" hidden="false" customHeight="false" outlineLevel="0" collapsed="false">
      <c r="A181" s="32"/>
      <c r="B181" s="32"/>
      <c r="C181" s="32"/>
      <c r="D181" s="17" t="str">
        <f aca="false">IF(B181="","",B181-C181)</f>
        <v/>
      </c>
    </row>
    <row r="182" customFormat="false" ht="15" hidden="false" customHeight="false" outlineLevel="0" collapsed="false">
      <c r="A182" s="32"/>
      <c r="B182" s="32"/>
      <c r="C182" s="32"/>
      <c r="D182" s="17" t="str">
        <f aca="false">IF(B182="","",B182-C182)</f>
        <v/>
      </c>
    </row>
    <row r="183" customFormat="false" ht="15" hidden="false" customHeight="false" outlineLevel="0" collapsed="false">
      <c r="A183" s="32"/>
      <c r="B183" s="32"/>
      <c r="C183" s="32"/>
      <c r="D183" s="17" t="str">
        <f aca="false">IF(B183="","",B183-C183)</f>
        <v/>
      </c>
    </row>
    <row r="184" customFormat="false" ht="15" hidden="false" customHeight="false" outlineLevel="0" collapsed="false">
      <c r="A184" s="32"/>
      <c r="B184" s="32"/>
      <c r="C184" s="32"/>
      <c r="D184" s="17" t="str">
        <f aca="false">IF(B184="","",B184-C184)</f>
        <v/>
      </c>
    </row>
    <row r="185" customFormat="false" ht="15" hidden="false" customHeight="false" outlineLevel="0" collapsed="false">
      <c r="A185" s="32"/>
      <c r="B185" s="32"/>
      <c r="C185" s="32"/>
      <c r="D185" s="17" t="str">
        <f aca="false">IF(B185="","",B185-C185)</f>
        <v/>
      </c>
    </row>
    <row r="186" customFormat="false" ht="15" hidden="false" customHeight="false" outlineLevel="0" collapsed="false">
      <c r="A186" s="32"/>
      <c r="B186" s="32"/>
      <c r="C186" s="32"/>
      <c r="D186" s="17" t="str">
        <f aca="false">IF(B186="","",B186-C186)</f>
        <v/>
      </c>
    </row>
    <row r="187" customFormat="false" ht="15" hidden="false" customHeight="false" outlineLevel="0" collapsed="false">
      <c r="A187" s="32"/>
      <c r="B187" s="32"/>
      <c r="C187" s="32"/>
      <c r="D187" s="17" t="str">
        <f aca="false">IF(B187="","",B187-C187)</f>
        <v/>
      </c>
    </row>
    <row r="188" customFormat="false" ht="15" hidden="false" customHeight="false" outlineLevel="0" collapsed="false">
      <c r="A188" s="32"/>
      <c r="B188" s="32"/>
      <c r="C188" s="32"/>
      <c r="D188" s="17" t="str">
        <f aca="false">IF(B188="","",B188-C188)</f>
        <v/>
      </c>
    </row>
    <row r="189" customFormat="false" ht="15" hidden="false" customHeight="false" outlineLevel="0" collapsed="false">
      <c r="A189" s="32"/>
      <c r="B189" s="32"/>
      <c r="C189" s="32"/>
      <c r="D189" s="17" t="str">
        <f aca="false">IF(B189="","",B189-C189)</f>
        <v/>
      </c>
    </row>
    <row r="190" customFormat="false" ht="15" hidden="false" customHeight="false" outlineLevel="0" collapsed="false">
      <c r="A190" s="32"/>
      <c r="B190" s="32"/>
      <c r="C190" s="32"/>
      <c r="D190" s="17" t="str">
        <f aca="false">IF(B190="","",B190-C190)</f>
        <v/>
      </c>
    </row>
    <row r="191" customFormat="false" ht="15" hidden="false" customHeight="false" outlineLevel="0" collapsed="false">
      <c r="A191" s="32"/>
      <c r="B191" s="32"/>
      <c r="C191" s="32"/>
      <c r="D191" s="17" t="str">
        <f aca="false">IF(B191="","",B191-C191)</f>
        <v/>
      </c>
    </row>
    <row r="192" customFormat="false" ht="15" hidden="false" customHeight="false" outlineLevel="0" collapsed="false">
      <c r="A192" s="32"/>
      <c r="B192" s="32"/>
      <c r="C192" s="32"/>
      <c r="D192" s="17" t="str">
        <f aca="false">IF(B192="","",B192-C192)</f>
        <v/>
      </c>
    </row>
    <row r="193" customFormat="false" ht="15" hidden="false" customHeight="false" outlineLevel="0" collapsed="false">
      <c r="A193" s="32"/>
      <c r="B193" s="32"/>
      <c r="C193" s="32"/>
      <c r="D193" s="17" t="str">
        <f aca="false">IF(B193="","",B193-C193)</f>
        <v/>
      </c>
    </row>
    <row r="194" customFormat="false" ht="15" hidden="false" customHeight="false" outlineLevel="0" collapsed="false">
      <c r="A194" s="32"/>
      <c r="B194" s="32"/>
      <c r="C194" s="32"/>
      <c r="D194" s="17" t="str">
        <f aca="false">IF(B194="","",B194-C194)</f>
        <v/>
      </c>
    </row>
    <row r="195" customFormat="false" ht="15" hidden="false" customHeight="false" outlineLevel="0" collapsed="false">
      <c r="A195" s="32"/>
      <c r="B195" s="32"/>
      <c r="C195" s="32"/>
      <c r="D195" s="17" t="str">
        <f aca="false">IF(B195="","",B195-C195)</f>
        <v/>
      </c>
    </row>
    <row r="196" customFormat="false" ht="15" hidden="false" customHeight="false" outlineLevel="0" collapsed="false">
      <c r="A196" s="32"/>
      <c r="B196" s="32"/>
      <c r="C196" s="32"/>
      <c r="D196" s="17" t="str">
        <f aca="false">IF(B196="","",B196-C196)</f>
        <v/>
      </c>
    </row>
    <row r="197" customFormat="false" ht="15" hidden="false" customHeight="false" outlineLevel="0" collapsed="false">
      <c r="A197" s="32"/>
      <c r="B197" s="32"/>
      <c r="C197" s="32"/>
      <c r="D197" s="17" t="str">
        <f aca="false">IF(B197="","",B197-C197)</f>
        <v/>
      </c>
    </row>
    <row r="198" customFormat="false" ht="15" hidden="false" customHeight="false" outlineLevel="0" collapsed="false">
      <c r="A198" s="32"/>
      <c r="B198" s="32"/>
      <c r="C198" s="32"/>
      <c r="D198" s="17" t="str">
        <f aca="false">IF(B198="","",B198-C198)</f>
        <v/>
      </c>
    </row>
    <row r="199" customFormat="false" ht="15" hidden="false" customHeight="false" outlineLevel="0" collapsed="false">
      <c r="A199" s="32"/>
      <c r="B199" s="32"/>
      <c r="C199" s="32"/>
      <c r="D199" s="17" t="str">
        <f aca="false">IF(B199="","",B199-C199)</f>
        <v/>
      </c>
    </row>
    <row r="200" customFormat="false" ht="15" hidden="false" customHeight="false" outlineLevel="0" collapsed="false">
      <c r="A200" s="32"/>
      <c r="B200" s="32"/>
      <c r="C200" s="32"/>
      <c r="D200" s="17" t="str">
        <f aca="false">IF(B200="","",B200-C200)</f>
        <v/>
      </c>
    </row>
    <row r="201" customFormat="false" ht="15" hidden="false" customHeight="false" outlineLevel="0" collapsed="false">
      <c r="A201" s="32"/>
      <c r="B201" s="32"/>
      <c r="C201" s="32"/>
      <c r="D201" s="17" t="str">
        <f aca="false">IF(B201="","",B201-C201)</f>
        <v/>
      </c>
    </row>
    <row r="202" customFormat="false" ht="15" hidden="false" customHeight="false" outlineLevel="0" collapsed="false">
      <c r="A202" s="32"/>
      <c r="B202" s="32"/>
      <c r="C202" s="32"/>
      <c r="D202" s="17" t="str">
        <f aca="false">IF(B202="","",B202-C202)</f>
        <v/>
      </c>
    </row>
    <row r="203" customFormat="false" ht="15" hidden="false" customHeight="false" outlineLevel="0" collapsed="false">
      <c r="A203" s="32"/>
      <c r="B203" s="32"/>
      <c r="C203" s="32"/>
      <c r="D203" s="17" t="str">
        <f aca="false">IF(B203="","",B203-C203)</f>
        <v/>
      </c>
    </row>
    <row r="204" customFormat="false" ht="15" hidden="false" customHeight="false" outlineLevel="0" collapsed="false">
      <c r="A204" s="32"/>
      <c r="B204" s="32"/>
      <c r="C204" s="32"/>
      <c r="D204" s="17" t="str">
        <f aca="false">IF(B204="","",B204-C204)</f>
        <v/>
      </c>
    </row>
    <row r="205" customFormat="false" ht="15" hidden="false" customHeight="false" outlineLevel="0" collapsed="false">
      <c r="A205" s="32"/>
      <c r="B205" s="32"/>
      <c r="C205" s="32"/>
      <c r="D205" s="17" t="str">
        <f aca="false">IF(B205="","",B205-C205)</f>
        <v/>
      </c>
    </row>
    <row r="206" customFormat="false" ht="15" hidden="false" customHeight="false" outlineLevel="0" collapsed="false">
      <c r="A206" s="32"/>
      <c r="B206" s="32"/>
      <c r="C206" s="32"/>
      <c r="D206" s="17" t="str">
        <f aca="false">IF(B206="","",B206-C206)</f>
        <v/>
      </c>
    </row>
    <row r="207" customFormat="false" ht="15" hidden="false" customHeight="false" outlineLevel="0" collapsed="false">
      <c r="A207" s="32"/>
      <c r="B207" s="32"/>
      <c r="C207" s="32"/>
      <c r="D207" s="17" t="str">
        <f aca="false">IF(B207="","",B207-C207)</f>
        <v/>
      </c>
    </row>
    <row r="208" customFormat="false" ht="15" hidden="false" customHeight="false" outlineLevel="0" collapsed="false">
      <c r="A208" s="32"/>
      <c r="B208" s="32"/>
      <c r="C208" s="32"/>
      <c r="D208" s="17" t="str">
        <f aca="false">IF(B208="","",B208-C208)</f>
        <v/>
      </c>
    </row>
    <row r="209" customFormat="false" ht="15" hidden="false" customHeight="false" outlineLevel="0" collapsed="false">
      <c r="A209" s="32"/>
      <c r="B209" s="32"/>
      <c r="C209" s="32"/>
      <c r="D209" s="17" t="str">
        <f aca="false">IF(B209="","",B209-C209)</f>
        <v/>
      </c>
    </row>
    <row r="210" customFormat="false" ht="15" hidden="false" customHeight="false" outlineLevel="0" collapsed="false">
      <c r="A210" s="32"/>
      <c r="B210" s="32"/>
      <c r="C210" s="32"/>
      <c r="D210" s="17" t="str">
        <f aca="false">IF(B210="","",B210-C210)</f>
        <v/>
      </c>
    </row>
    <row r="211" customFormat="false" ht="15" hidden="false" customHeight="false" outlineLevel="0" collapsed="false">
      <c r="A211" s="32"/>
      <c r="B211" s="32"/>
      <c r="C211" s="32"/>
      <c r="D211" s="17" t="str">
        <f aca="false">IF(B211="","",B211-C211)</f>
        <v/>
      </c>
    </row>
    <row r="212" customFormat="false" ht="15" hidden="false" customHeight="false" outlineLevel="0" collapsed="false">
      <c r="A212" s="32"/>
      <c r="B212" s="32"/>
      <c r="C212" s="32"/>
      <c r="D212" s="17" t="str">
        <f aca="false">IF(B212="","",B212-C212)</f>
        <v/>
      </c>
    </row>
    <row r="213" customFormat="false" ht="15" hidden="false" customHeight="false" outlineLevel="0" collapsed="false">
      <c r="A213" s="32"/>
      <c r="B213" s="32"/>
      <c r="C213" s="32"/>
      <c r="D213" s="17" t="str">
        <f aca="false">IF(B213="","",B213-C213)</f>
        <v/>
      </c>
    </row>
    <row r="214" customFormat="false" ht="15" hidden="false" customHeight="false" outlineLevel="0" collapsed="false">
      <c r="A214" s="32"/>
      <c r="B214" s="32"/>
      <c r="C214" s="32"/>
      <c r="D214" s="17" t="str">
        <f aca="false">IF(B214="","",B214-C214)</f>
        <v/>
      </c>
    </row>
    <row r="215" customFormat="false" ht="15" hidden="false" customHeight="false" outlineLevel="0" collapsed="false">
      <c r="A215" s="32"/>
      <c r="B215" s="32"/>
      <c r="C215" s="32"/>
      <c r="D215" s="17" t="str">
        <f aca="false">IF(B215="","",B215-C215)</f>
        <v/>
      </c>
    </row>
    <row r="216" customFormat="false" ht="15" hidden="false" customHeight="false" outlineLevel="0" collapsed="false">
      <c r="A216" s="32"/>
      <c r="B216" s="32"/>
      <c r="C216" s="32"/>
      <c r="D216" s="17" t="str">
        <f aca="false">IF(B216="","",B216-C216)</f>
        <v/>
      </c>
    </row>
    <row r="217" customFormat="false" ht="15" hidden="false" customHeight="false" outlineLevel="0" collapsed="false">
      <c r="A217" s="32"/>
      <c r="B217" s="32"/>
      <c r="C217" s="32"/>
      <c r="D217" s="17" t="str">
        <f aca="false">IF(B217="","",B217-C217)</f>
        <v/>
      </c>
    </row>
    <row r="218" customFormat="false" ht="15" hidden="false" customHeight="false" outlineLevel="0" collapsed="false">
      <c r="A218" s="32"/>
      <c r="B218" s="32"/>
      <c r="C218" s="32"/>
      <c r="D218" s="17" t="str">
        <f aca="false">IF(B218="","",B218-C218)</f>
        <v/>
      </c>
    </row>
    <row r="219" customFormat="false" ht="15" hidden="false" customHeight="false" outlineLevel="0" collapsed="false">
      <c r="A219" s="32"/>
      <c r="B219" s="32"/>
      <c r="C219" s="32"/>
      <c r="D219" s="17" t="str">
        <f aca="false">IF(B219="","",B219-C219)</f>
        <v/>
      </c>
    </row>
    <row r="220" customFormat="false" ht="15" hidden="false" customHeight="false" outlineLevel="0" collapsed="false">
      <c r="A220" s="32"/>
      <c r="B220" s="32"/>
      <c r="C220" s="32"/>
      <c r="D220" s="17" t="str">
        <f aca="false">IF(B220="","",B220-C220)</f>
        <v/>
      </c>
    </row>
    <row r="221" customFormat="false" ht="15" hidden="false" customHeight="false" outlineLevel="0" collapsed="false">
      <c r="A221" s="32"/>
      <c r="B221" s="32"/>
      <c r="C221" s="32"/>
      <c r="D221" s="17" t="str">
        <f aca="false">IF(B221="","",B221-C221)</f>
        <v/>
      </c>
    </row>
    <row r="222" customFormat="false" ht="15" hidden="false" customHeight="false" outlineLevel="0" collapsed="false">
      <c r="A222" s="32"/>
      <c r="B222" s="32"/>
      <c r="C222" s="32"/>
      <c r="D222" s="17" t="str">
        <f aca="false">IF(B222="","",B222-C222)</f>
        <v/>
      </c>
    </row>
    <row r="223" customFormat="false" ht="15" hidden="false" customHeight="false" outlineLevel="0" collapsed="false">
      <c r="A223" s="32"/>
      <c r="B223" s="32"/>
      <c r="C223" s="32"/>
      <c r="D223" s="17" t="str">
        <f aca="false">IF(B223="","",B223-C223)</f>
        <v/>
      </c>
    </row>
    <row r="224" customFormat="false" ht="15" hidden="false" customHeight="false" outlineLevel="0" collapsed="false">
      <c r="A224" s="32"/>
      <c r="B224" s="32"/>
      <c r="C224" s="32"/>
      <c r="D224" s="17" t="str">
        <f aca="false">IF(B224="","",B224-C224)</f>
        <v/>
      </c>
    </row>
    <row r="225" customFormat="false" ht="15" hidden="false" customHeight="false" outlineLevel="0" collapsed="false">
      <c r="A225" s="32"/>
      <c r="B225" s="32"/>
      <c r="C225" s="32"/>
      <c r="D225" s="17" t="str">
        <f aca="false">IF(B225="","",B225-C225)</f>
        <v/>
      </c>
    </row>
    <row r="226" customFormat="false" ht="15" hidden="false" customHeight="false" outlineLevel="0" collapsed="false">
      <c r="A226" s="32"/>
      <c r="B226" s="32"/>
      <c r="C226" s="32"/>
      <c r="D226" s="17" t="str">
        <f aca="false">IF(B226="","",B226-C226)</f>
        <v/>
      </c>
    </row>
    <row r="227" customFormat="false" ht="15" hidden="false" customHeight="false" outlineLevel="0" collapsed="false">
      <c r="A227" s="32"/>
      <c r="B227" s="32"/>
      <c r="C227" s="32"/>
      <c r="D227" s="17" t="str">
        <f aca="false">IF(B227="","",B227-C227)</f>
        <v/>
      </c>
    </row>
    <row r="228" customFormat="false" ht="15" hidden="false" customHeight="false" outlineLevel="0" collapsed="false">
      <c r="A228" s="32"/>
      <c r="B228" s="32"/>
      <c r="C228" s="32"/>
      <c r="D228" s="17" t="str">
        <f aca="false">IF(B228="","",B228-C228)</f>
        <v/>
      </c>
    </row>
    <row r="229" customFormat="false" ht="15" hidden="false" customHeight="false" outlineLevel="0" collapsed="false">
      <c r="A229" s="32"/>
      <c r="B229" s="32"/>
      <c r="C229" s="32"/>
      <c r="D229" s="17" t="str">
        <f aca="false">IF(B229="","",B229-C229)</f>
        <v/>
      </c>
    </row>
    <row r="230" customFormat="false" ht="15" hidden="false" customHeight="false" outlineLevel="0" collapsed="false">
      <c r="A230" s="32"/>
      <c r="B230" s="32"/>
      <c r="C230" s="32"/>
      <c r="D230" s="17" t="str">
        <f aca="false">IF(B230="","",B230-C230)</f>
        <v/>
      </c>
    </row>
    <row r="231" customFormat="false" ht="15" hidden="false" customHeight="false" outlineLevel="0" collapsed="false">
      <c r="A231" s="32"/>
      <c r="B231" s="32"/>
      <c r="C231" s="32"/>
      <c r="D231" s="17" t="str">
        <f aca="false">IF(B231="","",B231-C231)</f>
        <v/>
      </c>
    </row>
    <row r="232" customFormat="false" ht="15" hidden="false" customHeight="false" outlineLevel="0" collapsed="false">
      <c r="A232" s="32"/>
      <c r="B232" s="32"/>
      <c r="C232" s="32"/>
      <c r="D232" s="17" t="str">
        <f aca="false">IF(B232="","",B232-C232)</f>
        <v/>
      </c>
    </row>
    <row r="233" customFormat="false" ht="15" hidden="false" customHeight="false" outlineLevel="0" collapsed="false">
      <c r="A233" s="32"/>
      <c r="B233" s="32"/>
      <c r="C233" s="32"/>
      <c r="D233" s="17" t="str">
        <f aca="false">IF(B233="","",B233-C233)</f>
        <v/>
      </c>
    </row>
    <row r="234" customFormat="false" ht="15" hidden="false" customHeight="false" outlineLevel="0" collapsed="false">
      <c r="A234" s="32"/>
      <c r="B234" s="32"/>
      <c r="C234" s="32"/>
      <c r="D234" s="17" t="str">
        <f aca="false">IF(B234="","",B234-C234)</f>
        <v/>
      </c>
    </row>
    <row r="235" customFormat="false" ht="15" hidden="false" customHeight="false" outlineLevel="0" collapsed="false">
      <c r="A235" s="32"/>
      <c r="B235" s="32"/>
      <c r="C235" s="32"/>
      <c r="D235" s="17" t="str">
        <f aca="false">IF(B235="","",B235-C235)</f>
        <v/>
      </c>
    </row>
    <row r="236" customFormat="false" ht="15" hidden="false" customHeight="false" outlineLevel="0" collapsed="false">
      <c r="A236" s="32"/>
      <c r="B236" s="32"/>
      <c r="C236" s="32"/>
      <c r="D236" s="17" t="str">
        <f aca="false">IF(B236="","",B236-C236)</f>
        <v/>
      </c>
    </row>
    <row r="237" customFormat="false" ht="15" hidden="false" customHeight="false" outlineLevel="0" collapsed="false">
      <c r="A237" s="32"/>
      <c r="B237" s="32"/>
      <c r="C237" s="32"/>
      <c r="D237" s="17" t="str">
        <f aca="false">IF(B237="","",B237-C237)</f>
        <v/>
      </c>
    </row>
    <row r="238" customFormat="false" ht="15" hidden="false" customHeight="false" outlineLevel="0" collapsed="false">
      <c r="A238" s="32"/>
      <c r="B238" s="32"/>
      <c r="C238" s="32"/>
      <c r="D238" s="17" t="str">
        <f aca="false">IF(B238="","",B238-C238)</f>
        <v/>
      </c>
    </row>
    <row r="239" customFormat="false" ht="15" hidden="false" customHeight="false" outlineLevel="0" collapsed="false">
      <c r="A239" s="32"/>
      <c r="B239" s="32"/>
      <c r="C239" s="32"/>
      <c r="D239" s="17" t="str">
        <f aca="false">IF(B239="","",B239-C239)</f>
        <v/>
      </c>
    </row>
    <row r="240" customFormat="false" ht="15" hidden="false" customHeight="false" outlineLevel="0" collapsed="false">
      <c r="A240" s="32"/>
      <c r="B240" s="32"/>
      <c r="C240" s="32"/>
      <c r="D240" s="17" t="str">
        <f aca="false">IF(B240="","",B240-C240)</f>
        <v/>
      </c>
    </row>
    <row r="241" customFormat="false" ht="15" hidden="false" customHeight="false" outlineLevel="0" collapsed="false">
      <c r="A241" s="32"/>
      <c r="B241" s="32"/>
      <c r="C241" s="32"/>
      <c r="D241" s="17" t="str">
        <f aca="false">IF(B241="","",B241-C241)</f>
        <v/>
      </c>
    </row>
    <row r="242" customFormat="false" ht="15" hidden="false" customHeight="false" outlineLevel="0" collapsed="false">
      <c r="A242" s="32"/>
      <c r="B242" s="32"/>
      <c r="C242" s="32"/>
      <c r="D242" s="17" t="str">
        <f aca="false">IF(B242="","",B242-C242)</f>
        <v/>
      </c>
    </row>
    <row r="243" customFormat="false" ht="15" hidden="false" customHeight="false" outlineLevel="0" collapsed="false">
      <c r="A243" s="32"/>
      <c r="B243" s="32"/>
      <c r="C243" s="32"/>
      <c r="D243" s="17" t="str">
        <f aca="false">IF(B243="","",B243-C243)</f>
        <v/>
      </c>
    </row>
    <row r="244" customFormat="false" ht="15" hidden="false" customHeight="false" outlineLevel="0" collapsed="false">
      <c r="A244" s="32"/>
      <c r="B244" s="32"/>
      <c r="C244" s="32"/>
      <c r="D244" s="17" t="str">
        <f aca="false">IF(B244="","",B244-C244)</f>
        <v/>
      </c>
    </row>
    <row r="245" customFormat="false" ht="15" hidden="false" customHeight="false" outlineLevel="0" collapsed="false">
      <c r="A245" s="32"/>
      <c r="B245" s="32"/>
      <c r="C245" s="32"/>
      <c r="D245" s="17" t="str">
        <f aca="false">IF(B245="","",B245-C245)</f>
        <v/>
      </c>
    </row>
    <row r="246" customFormat="false" ht="15" hidden="false" customHeight="false" outlineLevel="0" collapsed="false">
      <c r="A246" s="32"/>
      <c r="B246" s="32"/>
      <c r="C246" s="32"/>
      <c r="D246" s="17" t="str">
        <f aca="false">IF(B246="","",B246-C246)</f>
        <v/>
      </c>
    </row>
    <row r="247" customFormat="false" ht="15" hidden="false" customHeight="false" outlineLevel="0" collapsed="false">
      <c r="A247" s="32"/>
      <c r="B247" s="32"/>
      <c r="C247" s="32"/>
      <c r="D247" s="17" t="str">
        <f aca="false">IF(B247="","",B247-C247)</f>
        <v/>
      </c>
    </row>
    <row r="248" customFormat="false" ht="15" hidden="false" customHeight="false" outlineLevel="0" collapsed="false">
      <c r="A248" s="32"/>
      <c r="B248" s="32"/>
      <c r="C248" s="32"/>
      <c r="D248" s="17" t="str">
        <f aca="false">IF(B248="","",B248-C248)</f>
        <v/>
      </c>
    </row>
    <row r="249" customFormat="false" ht="15" hidden="false" customHeight="false" outlineLevel="0" collapsed="false">
      <c r="A249" s="32"/>
      <c r="B249" s="32"/>
      <c r="C249" s="32"/>
      <c r="D249" s="17" t="str">
        <f aca="false">IF(B249="","",B249-C249)</f>
        <v/>
      </c>
    </row>
    <row r="250" customFormat="false" ht="15" hidden="false" customHeight="false" outlineLevel="0" collapsed="false">
      <c r="A250" s="32"/>
      <c r="B250" s="32"/>
      <c r="C250" s="32"/>
      <c r="D250" s="17" t="str">
        <f aca="false">IF(B250="","",B250-C250)</f>
        <v/>
      </c>
    </row>
    <row r="251" customFormat="false" ht="15" hidden="false" customHeight="false" outlineLevel="0" collapsed="false">
      <c r="A251" s="32"/>
      <c r="B251" s="32"/>
      <c r="C251" s="32"/>
      <c r="D251" s="17" t="str">
        <f aca="false">IF(B251="","",B251-C251)</f>
        <v/>
      </c>
    </row>
    <row r="252" customFormat="false" ht="15" hidden="false" customHeight="false" outlineLevel="0" collapsed="false">
      <c r="A252" s="32"/>
      <c r="B252" s="32"/>
      <c r="C252" s="32"/>
      <c r="D252" s="17" t="str">
        <f aca="false">IF(B252="","",B252-C252)</f>
        <v/>
      </c>
    </row>
    <row r="253" customFormat="false" ht="15" hidden="false" customHeight="false" outlineLevel="0" collapsed="false">
      <c r="A253" s="32"/>
      <c r="B253" s="32"/>
      <c r="C253" s="32"/>
      <c r="D253" s="17" t="str">
        <f aca="false">IF(B253="","",B253-C253)</f>
        <v/>
      </c>
    </row>
    <row r="254" customFormat="false" ht="15" hidden="false" customHeight="false" outlineLevel="0" collapsed="false">
      <c r="A254" s="32"/>
      <c r="B254" s="32"/>
      <c r="C254" s="32"/>
      <c r="D254" s="17" t="str">
        <f aca="false">IF(B254="","",B254-C254)</f>
        <v/>
      </c>
    </row>
    <row r="255" customFormat="false" ht="15" hidden="false" customHeight="false" outlineLevel="0" collapsed="false">
      <c r="A255" s="32"/>
      <c r="B255" s="32"/>
      <c r="C255" s="32"/>
      <c r="D255" s="17" t="str">
        <f aca="false">IF(B255="","",B255-C255)</f>
        <v/>
      </c>
    </row>
    <row r="256" customFormat="false" ht="15" hidden="false" customHeight="false" outlineLevel="0" collapsed="false">
      <c r="A256" s="32"/>
      <c r="B256" s="32"/>
      <c r="C256" s="32"/>
      <c r="D256" s="17" t="str">
        <f aca="false">IF(B256="","",B256-C256)</f>
        <v/>
      </c>
    </row>
    <row r="257" customFormat="false" ht="15" hidden="false" customHeight="false" outlineLevel="0" collapsed="false">
      <c r="A257" s="32"/>
      <c r="B257" s="32"/>
      <c r="C257" s="32"/>
      <c r="D257" s="17" t="str">
        <f aca="false">IF(B257="","",B257-C257)</f>
        <v/>
      </c>
    </row>
    <row r="258" customFormat="false" ht="15" hidden="false" customHeight="false" outlineLevel="0" collapsed="false">
      <c r="A258" s="32"/>
      <c r="B258" s="32"/>
      <c r="C258" s="32"/>
      <c r="D258" s="17" t="str">
        <f aca="false">IF(B258="","",B258-C258)</f>
        <v/>
      </c>
    </row>
    <row r="259" customFormat="false" ht="15" hidden="false" customHeight="false" outlineLevel="0" collapsed="false">
      <c r="A259" s="32"/>
      <c r="B259" s="32"/>
      <c r="C259" s="32"/>
      <c r="D259" s="17" t="str">
        <f aca="false">IF(B259="","",B259-C259)</f>
        <v/>
      </c>
    </row>
    <row r="260" customFormat="false" ht="15" hidden="false" customHeight="false" outlineLevel="0" collapsed="false">
      <c r="A260" s="32"/>
      <c r="B260" s="32"/>
      <c r="C260" s="32"/>
      <c r="D260" s="17" t="str">
        <f aca="false">IF(B260="","",B260-C260)</f>
        <v/>
      </c>
    </row>
    <row r="261" customFormat="false" ht="15" hidden="false" customHeight="false" outlineLevel="0" collapsed="false">
      <c r="A261" s="32"/>
      <c r="B261" s="32"/>
      <c r="C261" s="32"/>
      <c r="D261" s="17" t="str">
        <f aca="false">IF(B261="","",B261-C261)</f>
        <v/>
      </c>
    </row>
    <row r="262" customFormat="false" ht="15" hidden="false" customHeight="false" outlineLevel="0" collapsed="false">
      <c r="A262" s="32"/>
      <c r="B262" s="32"/>
      <c r="C262" s="32"/>
      <c r="D262" s="17" t="str">
        <f aca="false">IF(B262="","",B262-C262)</f>
        <v/>
      </c>
    </row>
    <row r="263" customFormat="false" ht="15" hidden="false" customHeight="false" outlineLevel="0" collapsed="false">
      <c r="A263" s="32"/>
      <c r="B263" s="32"/>
      <c r="C263" s="32"/>
      <c r="D263" s="17" t="str">
        <f aca="false">IF(B263="","",B263-C263)</f>
        <v/>
      </c>
    </row>
    <row r="264" customFormat="false" ht="15" hidden="false" customHeight="false" outlineLevel="0" collapsed="false">
      <c r="A264" s="32"/>
      <c r="B264" s="32"/>
      <c r="C264" s="32"/>
      <c r="D264" s="17" t="str">
        <f aca="false">IF(B264="","",B264-C264)</f>
        <v/>
      </c>
    </row>
    <row r="265" customFormat="false" ht="15" hidden="false" customHeight="false" outlineLevel="0" collapsed="false">
      <c r="A265" s="32"/>
      <c r="B265" s="32"/>
      <c r="C265" s="32"/>
      <c r="D265" s="17" t="str">
        <f aca="false">IF(B265="","",B265-C265)</f>
        <v/>
      </c>
    </row>
    <row r="266" customFormat="false" ht="15" hidden="false" customHeight="false" outlineLevel="0" collapsed="false">
      <c r="A266" s="32"/>
      <c r="B266" s="32"/>
      <c r="C266" s="32"/>
      <c r="D266" s="17" t="str">
        <f aca="false">IF(B266="","",B266-C266)</f>
        <v/>
      </c>
    </row>
    <row r="267" customFormat="false" ht="15" hidden="false" customHeight="false" outlineLevel="0" collapsed="false">
      <c r="A267" s="32"/>
      <c r="B267" s="32"/>
      <c r="C267" s="32"/>
      <c r="D267" s="17" t="str">
        <f aca="false">IF(B267="","",B267-C267)</f>
        <v/>
      </c>
    </row>
    <row r="268" customFormat="false" ht="15" hidden="false" customHeight="false" outlineLevel="0" collapsed="false">
      <c r="A268" s="32"/>
      <c r="B268" s="32"/>
      <c r="C268" s="32"/>
      <c r="D268" s="17" t="str">
        <f aca="false">IF(B268="","",B268-C268)</f>
        <v/>
      </c>
    </row>
    <row r="269" customFormat="false" ht="15" hidden="false" customHeight="false" outlineLevel="0" collapsed="false">
      <c r="A269" s="32"/>
      <c r="B269" s="32"/>
      <c r="C269" s="32"/>
      <c r="D269" s="17" t="str">
        <f aca="false">IF(B269="","",B269-C269)</f>
        <v/>
      </c>
    </row>
    <row r="270" customFormat="false" ht="15" hidden="false" customHeight="false" outlineLevel="0" collapsed="false">
      <c r="A270" s="32"/>
      <c r="B270" s="32"/>
      <c r="C270" s="32"/>
      <c r="D270" s="17" t="str">
        <f aca="false">IF(B270="","",B270-C270)</f>
        <v/>
      </c>
    </row>
    <row r="271" customFormat="false" ht="15" hidden="false" customHeight="false" outlineLevel="0" collapsed="false">
      <c r="A271" s="32"/>
      <c r="B271" s="32"/>
      <c r="C271" s="32"/>
      <c r="D271" s="17" t="str">
        <f aca="false">IF(B271="","",B271-C271)</f>
        <v/>
      </c>
    </row>
    <row r="272" customFormat="false" ht="15" hidden="false" customHeight="false" outlineLevel="0" collapsed="false">
      <c r="A272" s="32"/>
      <c r="B272" s="32"/>
      <c r="C272" s="32"/>
      <c r="D272" s="17" t="str">
        <f aca="false">IF(B272="","",B272-C272)</f>
        <v/>
      </c>
    </row>
    <row r="273" customFormat="false" ht="15" hidden="false" customHeight="false" outlineLevel="0" collapsed="false">
      <c r="A273" s="32"/>
      <c r="B273" s="32"/>
      <c r="C273" s="32"/>
      <c r="D273" s="17" t="str">
        <f aca="false">IF(B273="","",B273-C273)</f>
        <v/>
      </c>
    </row>
    <row r="274" customFormat="false" ht="15" hidden="false" customHeight="false" outlineLevel="0" collapsed="false">
      <c r="A274" s="32"/>
      <c r="B274" s="32"/>
      <c r="C274" s="32"/>
      <c r="D274" s="17" t="str">
        <f aca="false">IF(B274="","",B274-C274)</f>
        <v/>
      </c>
    </row>
    <row r="275" customFormat="false" ht="15" hidden="false" customHeight="false" outlineLevel="0" collapsed="false">
      <c r="A275" s="32"/>
      <c r="B275" s="32"/>
      <c r="C275" s="32"/>
      <c r="D275" s="17" t="str">
        <f aca="false">IF(B275="","",B275-C275)</f>
        <v/>
      </c>
    </row>
    <row r="276" customFormat="false" ht="15" hidden="false" customHeight="false" outlineLevel="0" collapsed="false">
      <c r="A276" s="32"/>
      <c r="B276" s="32"/>
      <c r="C276" s="32"/>
      <c r="D276" s="17" t="str">
        <f aca="false">IF(B276="","",B276-C276)</f>
        <v/>
      </c>
    </row>
    <row r="277" customFormat="false" ht="15" hidden="false" customHeight="false" outlineLevel="0" collapsed="false">
      <c r="A277" s="32"/>
      <c r="B277" s="32"/>
      <c r="C277" s="32"/>
      <c r="D277" s="17" t="str">
        <f aca="false">IF(B277="","",B277-C277)</f>
        <v/>
      </c>
    </row>
    <row r="278" customFormat="false" ht="15" hidden="false" customHeight="false" outlineLevel="0" collapsed="false">
      <c r="A278" s="32"/>
      <c r="B278" s="32"/>
      <c r="C278" s="32"/>
      <c r="D278" s="17" t="str">
        <f aca="false">IF(B278="","",B278-C278)</f>
        <v/>
      </c>
    </row>
    <row r="279" customFormat="false" ht="15" hidden="false" customHeight="false" outlineLevel="0" collapsed="false">
      <c r="A279" s="32"/>
      <c r="B279" s="32"/>
      <c r="C279" s="32"/>
      <c r="D279" s="17" t="str">
        <f aca="false">IF(B279="","",B279-C279)</f>
        <v/>
      </c>
    </row>
    <row r="280" customFormat="false" ht="15" hidden="false" customHeight="false" outlineLevel="0" collapsed="false">
      <c r="A280" s="32"/>
      <c r="B280" s="32"/>
      <c r="C280" s="32"/>
      <c r="D280" s="17" t="str">
        <f aca="false">IF(B280="","",B280-C280)</f>
        <v/>
      </c>
    </row>
    <row r="281" customFormat="false" ht="15" hidden="false" customHeight="false" outlineLevel="0" collapsed="false">
      <c r="A281" s="32"/>
      <c r="B281" s="32"/>
      <c r="C281" s="32"/>
      <c r="D281" s="17" t="str">
        <f aca="false">IF(B281="","",B281-C281)</f>
        <v/>
      </c>
    </row>
    <row r="282" customFormat="false" ht="15" hidden="false" customHeight="false" outlineLevel="0" collapsed="false">
      <c r="A282" s="32"/>
      <c r="B282" s="32"/>
      <c r="C282" s="32"/>
      <c r="D282" s="17" t="str">
        <f aca="false">IF(B282="","",B282-C282)</f>
        <v/>
      </c>
    </row>
    <row r="283" customFormat="false" ht="15" hidden="false" customHeight="false" outlineLevel="0" collapsed="false">
      <c r="A283" s="32"/>
      <c r="B283" s="32"/>
      <c r="C283" s="32"/>
      <c r="D283" s="17" t="str">
        <f aca="false">IF(B283="","",B283-C283)</f>
        <v/>
      </c>
    </row>
    <row r="284" customFormat="false" ht="15" hidden="false" customHeight="false" outlineLevel="0" collapsed="false">
      <c r="A284" s="32"/>
      <c r="B284" s="32"/>
      <c r="C284" s="32"/>
      <c r="D284" s="17" t="str">
        <f aca="false">IF(B284="","",B284-C284)</f>
        <v/>
      </c>
    </row>
    <row r="285" customFormat="false" ht="15" hidden="false" customHeight="false" outlineLevel="0" collapsed="false">
      <c r="A285" s="32"/>
      <c r="B285" s="32"/>
      <c r="C285" s="32"/>
      <c r="D285" s="17" t="str">
        <f aca="false">IF(B285="","",B285-C285)</f>
        <v/>
      </c>
    </row>
    <row r="286" customFormat="false" ht="15" hidden="false" customHeight="false" outlineLevel="0" collapsed="false">
      <c r="A286" s="32"/>
      <c r="B286" s="32"/>
      <c r="C286" s="32"/>
      <c r="D286" s="17" t="str">
        <f aca="false">IF(B286="","",B286-C286)</f>
        <v/>
      </c>
    </row>
    <row r="287" customFormat="false" ht="15" hidden="false" customHeight="false" outlineLevel="0" collapsed="false">
      <c r="A287" s="32"/>
      <c r="B287" s="32"/>
      <c r="C287" s="32"/>
      <c r="D287" s="17" t="str">
        <f aca="false">IF(B287="","",B287-C287)</f>
        <v/>
      </c>
    </row>
    <row r="288" customFormat="false" ht="15" hidden="false" customHeight="false" outlineLevel="0" collapsed="false">
      <c r="A288" s="32"/>
      <c r="B288" s="32"/>
      <c r="C288" s="32"/>
      <c r="D288" s="17" t="str">
        <f aca="false">IF(B288="","",B288-C288)</f>
        <v/>
      </c>
    </row>
    <row r="289" customFormat="false" ht="15" hidden="false" customHeight="false" outlineLevel="0" collapsed="false">
      <c r="A289" s="32"/>
      <c r="B289" s="32"/>
      <c r="C289" s="32"/>
      <c r="D289" s="17" t="str">
        <f aca="false">IF(B289="","",B289-C289)</f>
        <v/>
      </c>
    </row>
    <row r="290" customFormat="false" ht="15" hidden="false" customHeight="false" outlineLevel="0" collapsed="false">
      <c r="A290" s="32"/>
      <c r="B290" s="32"/>
      <c r="C290" s="32"/>
      <c r="D290" s="17" t="str">
        <f aca="false">IF(B290="","",B290-C290)</f>
        <v/>
      </c>
    </row>
    <row r="291" customFormat="false" ht="15" hidden="false" customHeight="false" outlineLevel="0" collapsed="false">
      <c r="A291" s="32"/>
      <c r="B291" s="32"/>
      <c r="C291" s="32"/>
      <c r="D291" s="17" t="str">
        <f aca="false">IF(B291="","",B291-C291)</f>
        <v/>
      </c>
    </row>
    <row r="292" customFormat="false" ht="15" hidden="false" customHeight="false" outlineLevel="0" collapsed="false">
      <c r="A292" s="32"/>
      <c r="B292" s="32"/>
      <c r="C292" s="32"/>
      <c r="D292" s="17" t="str">
        <f aca="false">IF(B292="","",B292-C292)</f>
        <v/>
      </c>
    </row>
    <row r="293" customFormat="false" ht="15" hidden="false" customHeight="false" outlineLevel="0" collapsed="false">
      <c r="A293" s="32"/>
      <c r="B293" s="32"/>
      <c r="C293" s="32"/>
      <c r="D293" s="17" t="str">
        <f aca="false">IF(B293="","",B293-C293)</f>
        <v/>
      </c>
    </row>
    <row r="294" customFormat="false" ht="15" hidden="false" customHeight="false" outlineLevel="0" collapsed="false">
      <c r="A294" s="32"/>
      <c r="B294" s="32"/>
      <c r="C294" s="32"/>
      <c r="D294" s="17" t="str">
        <f aca="false">IF(B294="","",B294-C294)</f>
        <v/>
      </c>
    </row>
    <row r="295" customFormat="false" ht="15" hidden="false" customHeight="false" outlineLevel="0" collapsed="false">
      <c r="A295" s="32"/>
      <c r="B295" s="32"/>
      <c r="C295" s="32"/>
      <c r="D295" s="17" t="str">
        <f aca="false">IF(B295="","",B295-C295)</f>
        <v/>
      </c>
    </row>
    <row r="296" customFormat="false" ht="15" hidden="false" customHeight="false" outlineLevel="0" collapsed="false">
      <c r="A296" s="32"/>
      <c r="B296" s="32"/>
      <c r="C296" s="32"/>
      <c r="D296" s="17" t="str">
        <f aca="false">IF(B296="","",B296-C296)</f>
        <v/>
      </c>
    </row>
    <row r="297" customFormat="false" ht="15" hidden="false" customHeight="false" outlineLevel="0" collapsed="false">
      <c r="A297" s="32"/>
      <c r="B297" s="32"/>
      <c r="C297" s="32"/>
      <c r="D297" s="17" t="str">
        <f aca="false">IF(B297="","",B297-C297)</f>
        <v/>
      </c>
    </row>
    <row r="298" customFormat="false" ht="15" hidden="false" customHeight="false" outlineLevel="0" collapsed="false">
      <c r="A298" s="32"/>
      <c r="B298" s="32"/>
      <c r="C298" s="32"/>
      <c r="D298" s="17" t="str">
        <f aca="false">IF(B298="","",B298-C298)</f>
        <v/>
      </c>
    </row>
    <row r="299" customFormat="false" ht="15" hidden="false" customHeight="false" outlineLevel="0" collapsed="false">
      <c r="A299" s="32"/>
      <c r="B299" s="32"/>
      <c r="C299" s="32"/>
      <c r="D299" s="17" t="str">
        <f aca="false">IF(B299="","",B299-C299)</f>
        <v/>
      </c>
    </row>
    <row r="300" customFormat="false" ht="15" hidden="false" customHeight="false" outlineLevel="0" collapsed="false">
      <c r="A300" s="32"/>
      <c r="B300" s="32"/>
      <c r="C300" s="32"/>
      <c r="D300" s="17" t="str">
        <f aca="false">IF(B300="","",B300-C300)</f>
        <v/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2026-08-25T04:18:44Z</dcterms:created>
  <dc:creator>openpyxl</dc:creator>
  <dc:description/>
  <dc:language>en-US</dc:language>
  <cp:lastModifiedBy/>
  <dcterms:modified xsi:type="dcterms:W3CDTF">2026-08-25T04:18:46Z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